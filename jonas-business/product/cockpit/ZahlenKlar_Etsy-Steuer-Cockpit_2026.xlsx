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EÜR" sheetId="2" state="visible" r:id="rId4"/>
    <sheet name="Etsy-Gebühren" sheetId="3" state="visible" r:id="rId5"/>
    <sheet name="Umsatz-Ampel" sheetId="4" state="visible" r:id="rId6"/>
    <sheet name="Margenrechner" sheetId="5" state="visible" r:id="rId7"/>
    <sheet name="Rechnungsvorlag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<sst xmlns="http://schemas.openxmlformats.org/spreadsheetml/2006/main" count="160" uniqueCount="144">
  <si>
    <t xml:space="preserve">ZahlenKlar</t>
  </si>
  <si>
    <t xml:space="preserve">Etsy-Steuer-Cockpit 2026 — für Kleinunternehmer nach § 19 UStG</t>
  </si>
  <si>
    <t xml:space="preserve">Was ist drin?</t>
  </si>
  <si>
    <t xml:space="preserve">▸ EÜR</t>
  </si>
  <si>
    <t xml:space="preserve">Einnahmen &amp; Ausgaben erfassen — Summen, Gewinn und Monatsübersicht rechnen sich von selbst.</t>
  </si>
  <si>
    <t xml:space="preserve">▸ Etsy-Gebühren</t>
  </si>
  <si>
    <t xml:space="preserve">Netto-Gebühren je Monat eintragen; die ggf. per Reverse Charge geschuldete USt (19 %) wird automatisch berechnet.</t>
  </si>
  <si>
    <t xml:space="preserve">▸ Umsatz-Ampel</t>
  </si>
  <si>
    <t xml:space="preserve">Grün / Gelb / Rot: Wie nah bist du an den Kleinunternehmer-Grenzen 25.000 € (Vorjahr) und 100.000 € (laufendes Jahr)?</t>
  </si>
  <si>
    <t xml:space="preserve">▸ Margenrechner</t>
  </si>
  <si>
    <t xml:space="preserve">Was bleibt pro Produkt nach allen Etsy-Gebühren wirklich übrig?</t>
  </si>
  <si>
    <t xml:space="preserve">▸ Rechnungsvorlage</t>
  </si>
  <si>
    <t xml:space="preserve">USt-freie Rechnung mit vorformuliertem § 19-Pflichthinweis.</t>
  </si>
  <si>
    <t xml:space="preserve">So liest du die Farben</t>
  </si>
  <si>
    <t xml:space="preserve">Gelbe Zellen</t>
  </si>
  <si>
    <t xml:space="preserve">hier trägst du deine Werte ein.</t>
  </si>
  <si>
    <t xml:space="preserve">Blaue Schrift</t>
  </si>
  <si>
    <t xml:space="preserve">Sätze &amp; Annahmen (z. B. Gebührensätze) — darfst du anpassen.</t>
  </si>
  <si>
    <t xml:space="preserve">Schwarze Schrift</t>
  </si>
  <si>
    <t xml:space="preserve">Formeln — bitte nicht überschreiben.</t>
  </si>
  <si>
    <t xml:space="preserve">Schnellstart in 3 Schritten</t>
  </si>
  <si>
    <t xml:space="preserve">1.  Blatt „EÜR“: Beispielzeilen überschreiben und ab sofort jede Einnahme/Ausgabe eintragen (5 Min./Woche).</t>
  </si>
  <si>
    <t xml:space="preserve">2.  Blatt „Etsy-Gebühren“: einmal im Monat die Netto-Gebühren aus deiner Etsy-Abrechnung übertragen.</t>
  </si>
  <si>
    <t xml:space="preserve">3.  Blatt „Umsatz-Ampel“: deinen Vorjahresumsatz eintragen — fertig. Die Ampel läuft ab jetzt automatisch mit.</t>
  </si>
  <si>
    <t xml:space="preserve">Wichtiger Hinweis</t>
  </si>
  <si>
    <t xml:space="preserve">Dieses Cockpit ist eine Organisations- und Rechenhilfe und ersetzt keine Steuerberatung. Alle Angaben ohne Gewähr (Stand: Juli 2026). Gebührensätze und Steuergrenzen können sich ändern — bitte im Zweifel im Etsy-Konto bzw. mit deinem Steuerbüro abgleichen.</t>
  </si>
  <si>
    <t xml:space="preserve">EÜR — Einnahmen-Überschuss-Rechnung 2026</t>
  </si>
  <si>
    <t xml:space="preserve">Jahresüberblick</t>
  </si>
  <si>
    <t xml:space="preserve">Jede Zahlung in dem Jahr erfassen, in dem das Geld geflossen ist (Zufluss-/Abfluss-Prinzip).</t>
  </si>
  <si>
    <t xml:space="preserve">Einnahmen gesamt</t>
  </si>
  <si>
    <t xml:space="preserve">Ausgaben gesamt</t>
  </si>
  <si>
    <t xml:space="preserve">Zeilen 7–8 sind Beispiele — einfach überschreiben.</t>
  </si>
  <si>
    <t xml:space="preserve">Gewinn / Verlust</t>
  </si>
  <si>
    <t xml:space="preserve">Datum</t>
  </si>
  <si>
    <t xml:space="preserve">Beleg-Nr.</t>
  </si>
  <si>
    <t xml:space="preserve">Beschreibung</t>
  </si>
  <si>
    <t xml:space="preserve">Typ</t>
  </si>
  <si>
    <t xml:space="preserve">Kategorie</t>
  </si>
  <si>
    <t xml:space="preserve">Betrag (€)</t>
  </si>
  <si>
    <t xml:space="preserve">Monat</t>
  </si>
  <si>
    <t xml:space="preserve">Monatsübersicht</t>
  </si>
  <si>
    <t xml:space="preserve">2026-001</t>
  </si>
  <si>
    <t xml:space="preserve">Etsy-Auszahlung Januar</t>
  </si>
  <si>
    <t xml:space="preserve">Einnahme</t>
  </si>
  <si>
    <t xml:space="preserve">Etsy-Verkauf</t>
  </si>
  <si>
    <t xml:space="preserve">Einnahmen</t>
  </si>
  <si>
    <t xml:space="preserve">Ausgaben</t>
  </si>
  <si>
    <t xml:space="preserve">Gewinn</t>
  </si>
  <si>
    <t xml:space="preserve">2026-002</t>
  </si>
  <si>
    <t xml:space="preserve">Kartonagen &amp; Füllmaterial (DIY-Laden)</t>
  </si>
  <si>
    <t xml:space="preserve">Ausgabe</t>
  </si>
  <si>
    <t xml:space="preserve">Verpackung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</si>
  <si>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</si>
  <si>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</si>
  <si>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</si>
  <si>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</si>
  <si>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</si>
  <si>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</si>
  <si>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</si>
  <si>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</si>
  <si>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</si>
  <si>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</si>
  <si>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</si>
  <si>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</si>
  <si>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Summe</t>
  </si>
  <si>
    <t xml:space="preserve">Etsy-Gebühren &amp; Reverse Charge</t>
  </si>
  <si>
    <t xml:space="preserve">Für Kleinunternehmer, die eine USt-IdNr. bei Etsy hinterlegt haben (§ 13b UStG).</t>
  </si>
  <si>
    <t xml:space="preserve">USt-Satz</t>
  </si>
  <si>
    <t xml:space="preserve">Stand Juli 2026 — anpassbar</t>
  </si>
  <si>
    <t xml:space="preserve">Welcher Fall gilt für dich?</t>
  </si>
  <si>
    <t xml:space="preserve">Netto-Gebühren lt. Etsy (€)</t>
  </si>
  <si>
    <t xml:space="preserve">davon USt geschuldet</t>
  </si>
  <si>
    <t xml:space="preserve">Status</t>
  </si>
  <si>
    <t xml:space="preserve">FALL A — keine USt-IdNr. bei Etsy hinterlegt:  Etsy stellt dir die Gebühren inklusive 19 % USt in Rechnung und führt diese selbst ab. Du trägst die Brutto-Gebühren einfach als Ausgabe in der EÜR ein — dieses Blatt brauchst du dann nicht.</t>
  </si>
  <si>
    <t xml:space="preserve">offen</t>
  </si>
  <si>
    <t xml:space="preserve">FALL B — USt-IdNr. hinterlegt (Reverse Charge):  Etsy berechnet Netto-Gebühren. Die 19 % USt darauf schuldest DU dem Finanzamt — auch als Kleinunternehmer, und ohne Vorsteuerabzug. Genau das rechnet die Tabelle links aus. Die Beträge meldest du über die Umsatzsteuererklärung/-voranmeldung.</t>
  </si>
  <si>
    <t xml:space="preserve">Tipp: Die Netto-Gebühren findest du in deiner monatlichen Etsy-Abrechnung (Shop-Manager → Finanzen → Monatliche Abrechnung).</t>
  </si>
  <si>
    <t xml:space="preserve">Jahr gesamt</t>
  </si>
  <si>
    <t xml:space="preserve">Zeile Januar ist ein Beispiel — überschreiben.</t>
  </si>
  <si>
    <t xml:space="preserve">Kleinunternehmer-Ampel (§ 19 UStG)</t>
  </si>
  <si>
    <t xml:space="preserve">Grenzen seit 1.1.2025 (Jahressteuergesetz 2024). Achtung: Versandkosten zählen zum Umsatz dazu!</t>
  </si>
  <si>
    <t xml:space="preserve">Dein Umsatz im Vorjahr (2025)</t>
  </si>
  <si>
    <t xml:space="preserve">So funktionieren die Grenzen:</t>
  </si>
  <si>
    <t xml:space="preserve">Dein Umsatz im laufenden Jahr (2026)</t>
  </si>
  <si>
    <t xml:space="preserve">← kommt automatisch aus der EÜR</t>
  </si>
  <si>
    <t xml:space="preserve">• Lag dein Gesamtumsatz im VORJAHR über 25.000 €, bist du dieses Jahr kein Kleinunternehmer mehr.</t>
  </si>
  <si>
    <t xml:space="preserve">Grenze Vorjahresumsatz</t>
  </si>
  <si>
    <t xml:space="preserve">• Überschreitest du im LAUFENDEN Jahr 100.000 €, endet die Befreiung sofort ab diesem Umsatz (Fallbeileffekt) — nicht erst im Folgejahr.</t>
  </si>
  <si>
    <t xml:space="preserve">Grenze laufendes Jahr (Fallbeil!)</t>
  </si>
  <si>
    <t xml:space="preserve">• Zum Umsatz zählt alles, was Kunden zahlen — inklusive berechneter Versandkosten.</t>
  </si>
  <si>
    <t xml:space="preserve">Ausnutzung Vorjahresgrenze</t>
  </si>
  <si>
    <t xml:space="preserve">Quelle: § 19 UStG i. d. F. des Jahressteuergesetzes 2024; Stand Juli 2026. Keine Steuerberatung.</t>
  </si>
  <si>
    <t xml:space="preserve">Ausnutzung 100.000-€-Grenze</t>
  </si>
  <si>
    <t xml:space="preserve">DEINE AMPEL</t>
  </si>
  <si>
    <t xml:space="preserve">Margenrechner — was bleibt pro Etsy-Verkauf übrig?</t>
  </si>
  <si>
    <t xml:space="preserve">Gebührensätze unten sind Standardwerte (Stand Juli 2026) — bitte mit deinem Etsy-Konto abgleichen.</t>
  </si>
  <si>
    <t xml:space="preserve">Transaktionsgebühr (auf Preis + Versand)</t>
  </si>
  <si>
    <t xml:space="preserve">Zahlungsgebühr prozentual</t>
  </si>
  <si>
    <t xml:space="preserve">Zahlungsgebühr fix (€)</t>
  </si>
  <si>
    <t xml:space="preserve">Einstellgebühr pro Listing (€)</t>
  </si>
  <si>
    <t xml:space="preserve">≈ 0,20 USD</t>
  </si>
  <si>
    <t xml:space="preserve">Offsite-Ads-Satz</t>
  </si>
  <si>
    <t xml:space="preserve">12 % ab 10.000 USD Jahresumsatz</t>
  </si>
  <si>
    <t xml:space="preserve">Kleinunternehmer mit USt-IdNr.? (ja/nein)</t>
  </si>
  <si>
    <t xml:space="preserve">ja</t>
  </si>
  <si>
    <t xml:space="preserve">„ja“ = 19 % USt auf Gebühren werden eingerechnet</t>
  </si>
  <si>
    <t xml:space="preserve">USt-Satz auf Gebühren</t>
  </si>
  <si>
    <t xml:space="preserve">Produkt</t>
  </si>
  <si>
    <t xml:space="preserve">Verkaufspreis (€)</t>
  </si>
  <si>
    <t xml:space="preserve">berechn. Versand (€)</t>
  </si>
  <si>
    <t xml:space="preserve">Materialkosten (€)</t>
  </si>
  <si>
    <t xml:space="preserve">eigene Versandkosten (€)</t>
  </si>
  <si>
    <t xml:space="preserve">Offsite-Ad?</t>
  </si>
  <si>
    <t xml:space="preserve">Etsy-Gebühren (€)</t>
  </si>
  <si>
    <t xml:space="preserve">USt auf Gebühren (€)</t>
  </si>
  <si>
    <t xml:space="preserve">Gewinn (€)</t>
  </si>
  <si>
    <t xml:space="preserve">Marge</t>
  </si>
  <si>
    <t xml:space="preserve">Makramee-Wandbehang (Beispiel)</t>
  </si>
  <si>
    <t xml:space="preserve">nein</t>
  </si>
  <si>
    <t xml:space="preserve">Marge-Ampel: grün ≥ 30 %  ·  gelb 15–30 %  ·  rot &lt; 15 %. Zeile 13 ist ein Beispiel — überschreiben.</t>
  </si>
  <si>
    <t xml:space="preserve">[Dein Name / Firmenname]</t>
  </si>
  <si>
    <t xml:space="preserve">[Straße Hausnr.] · [PLZ Ort]</t>
  </si>
  <si>
    <t xml:space="preserve">[E-Mail] · Steuernummer: [XX/XXX/XXXXX]</t>
  </si>
  <si>
    <t xml:space="preserve">Rechnung an:</t>
  </si>
  <si>
    <t xml:space="preserve">Rechnungs-Nr.:</t>
  </si>
  <si>
    <t xml:space="preserve">[2026-001]</t>
  </si>
  <si>
    <t xml:space="preserve">[Kundenname]</t>
  </si>
  <si>
    <t xml:space="preserve">Rechnungsdatum:</t>
  </si>
  <si>
    <t xml:space="preserve">[TT.MM.JJJJ]</t>
  </si>
  <si>
    <t xml:space="preserve">[Straße Hausnr.]</t>
  </si>
  <si>
    <t xml:space="preserve">Leistungsdatum:</t>
  </si>
  <si>
    <t xml:space="preserve">[PLZ Ort, Land]</t>
  </si>
  <si>
    <t xml:space="preserve">RECHNUNG</t>
  </si>
  <si>
    <t xml:space="preserve">Pos.</t>
  </si>
  <si>
    <t xml:space="preserve">Menge</t>
  </si>
  <si>
    <t xml:space="preserve">Einzelpreis (€)</t>
  </si>
  <si>
    <t xml:space="preserve">Gesamt (€)</t>
  </si>
  <si>
    <t xml:space="preserve">Makramee-Wandbehang, natur (Beispiel)</t>
  </si>
  <si>
    <t xml:space="preserve">Rechnungsbetrag</t>
  </si>
  <si>
    <t xml:space="preserve">Gemäß § 19 UStG wird keine Umsatzsteuer ausgewiesen.</t>
  </si>
  <si>
    <t xml:space="preserve">Zahlbar innerhalb von 14 Tagen ohne Abzug auf folgendes Konto:</t>
  </si>
  <si>
    <t xml:space="preserve">[IBAN] · [Bank]</t>
  </si>
  <si>
    <t xml:space="preserve">Hinweis für Etsy-Verkäufer: Bei DIGITALEN Produkten tritt Etsy selbst als Verkäufer gegenüber dem Endkunden auf — die Rechnung geht dann ggf. an Etsy, nicht an den Käufer. Im Zweifel Steuerbüro fragen.</t>
  </si>
  <si>
    <t xml:space="preserve">Zeile 13 ist ein Beispiel — überschreiben. Gelbe Felder = ausfüllen.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</si>
</sst>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dd\.mm\.yyyy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rgb="FF2E75B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i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FFEB9C"/>
      </patternFill>
    </fill>
    <fill>
      <patternFill patternType="solid">
        <fgColor rgb="FFDDEBF7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8"/>
    <col collapsed="false" customWidth="true" hidden="false" outlineLevel="0" max="4" min="4" style="0" width="3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5.5" hidden="false" customHeight="true" outlineLevel="0" collapsed="false">
      <c r="B6" s="4" t="s">
        <v>3</v>
      </c>
      <c r="C6" s="5" t="s">
        <v>4</v>
      </c>
    </row>
    <row r="7" customFormat="false" ht="25.5" hidden="false" customHeight="true" outlineLevel="0" collapsed="false">
      <c r="B7" s="4" t="s">
        <v>5</v>
      </c>
      <c r="C7" s="5" t="s">
        <v>6</v>
      </c>
    </row>
    <row r="8" customFormat="false" ht="25.5" hidden="false" customHeight="true" outlineLevel="0" collapsed="false">
      <c r="B8" s="4" t="s">
        <v>7</v>
      </c>
      <c r="C8" s="5" t="s">
        <v>8</v>
      </c>
    </row>
    <row r="9" customFormat="false" ht="25.5" hidden="false" customHeight="true" outlineLevel="0" collapsed="false">
      <c r="B9" s="4" t="s">
        <v>9</v>
      </c>
      <c r="C9" s="5" t="s">
        <v>10</v>
      </c>
    </row>
    <row r="10" customFormat="false" ht="25.5" hidden="false" customHeight="true" outlineLevel="0" collapsed="false">
      <c r="B10" s="4" t="s">
        <v>11</v>
      </c>
      <c r="C10" s="5" t="s">
        <v>12</v>
      </c>
    </row>
    <row r="12" customFormat="false" ht="15" hidden="false" customHeight="false" outlineLevel="0" collapsed="false">
      <c r="B12" s="3" t="s">
        <v>13</v>
      </c>
    </row>
    <row r="13" customFormat="false" ht="15" hidden="false" customHeight="false" outlineLevel="0" collapsed="false">
      <c r="B13" s="6" t="s">
        <v>14</v>
      </c>
      <c r="C13" s="7" t="s">
        <v>15</v>
      </c>
    </row>
    <row r="14" customFormat="false" ht="15" hidden="false" customHeight="false" outlineLevel="0" collapsed="false">
      <c r="B14" s="8" t="s">
        <v>16</v>
      </c>
      <c r="C14" s="7" t="s">
        <v>17</v>
      </c>
    </row>
    <row r="15" customFormat="false" ht="15" hidden="false" customHeight="false" outlineLevel="0" collapsed="false">
      <c r="B15" s="4" t="s">
        <v>18</v>
      </c>
      <c r="C15" s="7" t="s">
        <v>19</v>
      </c>
    </row>
    <row r="17" customFormat="false" ht="15" hidden="false" customHeight="false" outlineLevel="0" collapsed="false">
      <c r="B17" s="3" t="s">
        <v>20</v>
      </c>
    </row>
    <row r="18" customFormat="false" ht="24" hidden="false" customHeight="true" outlineLevel="0" collapsed="false">
      <c r="B18" s="9" t="s">
        <v>21</v>
      </c>
      <c r="C18" s="9"/>
    </row>
    <row r="19" customFormat="false" ht="24" hidden="false" customHeight="true" outlineLevel="0" collapsed="false">
      <c r="B19" s="9" t="s">
        <v>22</v>
      </c>
      <c r="C19" s="9"/>
    </row>
    <row r="20" customFormat="false" ht="24" hidden="false" customHeight="true" outlineLevel="0" collapsed="false">
      <c r="B20" s="9" t="s">
        <v>23</v>
      </c>
      <c r="C20" s="9"/>
    </row>
    <row r="22" customFormat="false" ht="15" hidden="false" customHeight="false" outlineLevel="0" collapsed="false">
      <c r="B22" s="10" t="s">
        <v>24</v>
      </c>
    </row>
    <row r="23" customFormat="false" ht="42" hidden="false" customHeight="true" outlineLevel="0" collapsed="false">
      <c r="B23" s="11" t="s">
        <v>25</v>
      </c>
      <c r="C23" s="11"/>
    </row>
  </sheetData>
  <mergeCells count="4">
    <mergeCell ref="B18:C18"/>
    <mergeCell ref="B19:C19"/>
    <mergeCell ref="B20:C20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2"/>
    <col collapsed="false" customWidth="true" hidden="false" outlineLevel="0" max="9" min="9" style="0" width="12"/>
    <col collapsed="false" customWidth="true" hidden="false" outlineLevel="0" max="12" min="10" style="0" width="13"/>
  </cols>
  <sheetData>
    <row r="1" customFormat="false" ht="19.7" hidden="false" customHeight="false" outlineLevel="0" collapsed="false">
      <c r="A1" s="1" t="s">
        <v>26</v>
      </c>
      <c r="I1" s="3" t="s">
        <v>27</v>
      </c>
    </row>
    <row r="2" customFormat="false" ht="15" hidden="false" customHeight="false" outlineLevel="0" collapsed="false">
      <c r="A2" s="12" t="s">
        <v>28</v>
      </c>
      <c r="I2" s="4" t="s">
        <v>29</v>
      </c>
      <c r="J2" s="13" t="n">
        <f aca="false">SUMIFS($F:$F,$D:$D,"Einnahme")</f>
        <v>245.8</v>
      </c>
    </row>
    <row r="3" customFormat="false" ht="15" hidden="false" customHeight="false" outlineLevel="0" collapsed="false">
      <c r="I3" s="4" t="s">
        <v>30</v>
      </c>
      <c r="J3" s="14" t="n">
        <f aca="false">SUMIFS($F:$F,$D:$D,"Ausgabe")</f>
        <v>18.9</v>
      </c>
    </row>
    <row r="4" customFormat="false" ht="15" hidden="false" customHeight="false" outlineLevel="0" collapsed="false">
      <c r="A4" s="15" t="s">
        <v>31</v>
      </c>
      <c r="I4" s="4" t="s">
        <v>32</v>
      </c>
      <c r="J4" s="16" t="n">
        <f aca="false">J2-J3</f>
        <v>226.9</v>
      </c>
    </row>
    <row r="6" customFormat="false" ht="15" hidden="false" customHeight="false" outlineLevel="0" collapsed="false">
      <c r="A6" s="17" t="s">
        <v>33</v>
      </c>
      <c r="B6" s="17" t="s">
        <v>34</v>
      </c>
      <c r="C6" s="17" t="s">
        <v>35</v>
      </c>
      <c r="D6" s="17" t="s">
        <v>36</v>
      </c>
      <c r="E6" s="17" t="s">
        <v>37</v>
      </c>
      <c r="F6" s="17" t="s">
        <v>38</v>
      </c>
      <c r="G6" s="17" t="s">
        <v>39</v>
      </c>
      <c r="I6" s="3" t="s">
        <v>40</v>
      </c>
    </row>
    <row r="7" customFormat="false" ht="15" hidden="false" customHeight="false" outlineLevel="0" collapsed="false">
      <c r="A7" s="18" t="n">
        <v>46037</v>
      </c>
      <c r="B7" s="19" t="s">
        <v>41</v>
      </c>
      <c r="C7" s="19" t="s">
        <v>42</v>
      </c>
      <c r="D7" s="19" t="s">
        <v>43</v>
      </c>
      <c r="E7" s="19" t="s">
        <v>44</v>
      </c>
      <c r="F7" s="20" t="n">
        <v>245.8</v>
      </c>
      <c r="G7" s="12" t="n">
        <f aca="false">IF($A7="","",MONTH($A7))</f>
        <v>1</v>
      </c>
      <c r="I7" s="17" t="s">
        <v>39</v>
      </c>
      <c r="J7" s="17" t="s">
        <v>45</v>
      </c>
      <c r="K7" s="17" t="s">
        <v>46</v>
      </c>
      <c r="L7" s="17" t="s">
        <v>47</v>
      </c>
    </row>
    <row r="8" customFormat="false" ht="15" hidden="false" customHeight="false" outlineLevel="0" collapsed="false">
      <c r="A8" s="18" t="n">
        <v>46042</v>
      </c>
      <c r="B8" s="19" t="s">
        <v>48</v>
      </c>
      <c r="C8" s="19" t="s">
        <v>49</v>
      </c>
      <c r="D8" s="19" t="s">
        <v>50</v>
      </c>
      <c r="E8" s="19" t="s">
        <v>51</v>
      </c>
      <c r="F8" s="20" t="n">
        <v>18.9</v>
      </c>
      <c r="G8" s="12" t="n">
        <f aca="false">IF($A8="","",MONTH($A8))</f>
        <v>1</v>
      </c>
      <c r="I8" s="21" t="s">
        <v>52</v>
      </c>
      <c r="J8" s="22" t="n">
        <f aca="false">SUMIFS($F:$F,$D:$D,"Einnahme",$G:$G,1)</f>
        <v>245.8</v>
      </c>
      <c r="K8" s="22" t="n">
        <f aca="false">SUMIFS($F:$F,$D:$D,"Ausgabe",$G:$G,1)</f>
        <v>18.9</v>
      </c>
      <c r="L8" s="22" t="n">
        <f aca="false">J8-K8</f>
        <v>226.9</v>
      </c>
    </row>
    <row r="9" customFormat="false" ht="15" hidden="false" customHeight="false" outlineLevel="0" collapsed="false">
      <c r="A9" s="18"/>
      <c r="B9" s="19"/>
      <c r="C9" s="19"/>
      <c r="D9" s="19"/>
      <c r="E9" s="19"/>
      <c r="F9" s="20"/>
      <c r="G9" s="12" t="str">
        <f aca="false">IF($A9="","",MONTH($A9))</f>
        <v/>
      </c>
      <c r="I9" s="21" t="s">
        <v>53</v>
      </c>
      <c r="J9" s="22" t="n">
        <f aca="false">SUMIFS($F:$F,$D:$D,"Einnahme",$G:$G,2)</f>
        <v>0</v>
      </c>
      <c r="K9" s="22" t="n">
        <f aca="false">SUMIFS($F:$F,$D:$D,"Ausgabe",$G:$G,2)</f>
        <v>0</v>
      </c>
      <c r="L9" s="22" t="n">
        <f aca="false">J9-K9</f>
        <v>0</v>
      </c>
    </row>
    <row r="10" customFormat="false" ht="15" hidden="false" customHeight="false" outlineLevel="0" collapsed="false">
      <c r="A10" s="18"/>
      <c r="B10" s="19"/>
      <c r="C10" s="19"/>
      <c r="D10" s="19"/>
      <c r="E10" s="19"/>
      <c r="F10" s="20"/>
      <c r="G10" s="12" t="str">
        <f aca="false">IF($A10="","",MONTH($A10))</f>
        <v/>
      </c>
      <c r="I10" s="21" t="s">
        <v>54</v>
      </c>
      <c r="J10" s="22" t="n">
        <f aca="false">SUMIFS($F:$F,$D:$D,"Einnahme",$G:$G,3)</f>
        <v>0</v>
      </c>
      <c r="K10" s="22" t="n">
        <f aca="false">SUMIFS($F:$F,$D:$D,"Ausgabe",$G:$G,3)</f>
        <v>0</v>
      </c>
      <c r="L10" s="22" t="n">
        <f aca="false">J10-K10</f>
        <v>0</v>
      </c>
    </row>
    <row r="11" customFormat="false" ht="15" hidden="false" customHeight="false" outlineLevel="0" collapsed="false">
      <c r="A11" s="18"/>
      <c r="B11" s="19"/>
      <c r="C11" s="19"/>
      <c r="D11" s="19"/>
      <c r="E11" s="19"/>
      <c r="F11" s="20"/>
      <c r="G11" s="12" t="str">
        <f aca="false">IF($A11="","",MONTH($A11))</f>
        <v/>
      </c>
      <c r="I11" s="21" t="s">
        <v>55</v>
      </c>
      <c r="J11" s="22" t="n">
        <f aca="false">SUMIFS($F:$F,$D:$D,"Einnahme",$G:$G,4)</f>
        <v>0</v>
      </c>
      <c r="K11" s="22" t="n">
        <f aca="false">SUMIFS($F:$F,$D:$D,"Ausgabe",$G:$G,4)</f>
        <v>0</v>
      </c>
      <c r="L11" s="22" t="n">
        <f aca="false">J11-K11</f>
        <v>0</v>
      </c>
    </row>
    <row r="12" customFormat="false" ht="15" hidden="false" customHeight="false" outlineLevel="0" collapsed="false">
      <c r="A12" s="18"/>
      <c r="B12" s="19"/>
      <c r="C12" s="19"/>
      <c r="D12" s="19"/>
      <c r="E12" s="19"/>
      <c r="F12" s="20"/>
      <c r="G12" s="12" t="str">
        <f aca="false">IF($A12="","",MONTH($A12))</f>
        <v/>
      </c>
      <c r="I12" s="21" t="s">
        <v>56</v>
      </c>
      <c r="J12" s="22" t="n">
        <f aca="false">SUMIFS($F:$F,$D:$D,"Einnahme",$G:$G,5)</f>
        <v>0</v>
      </c>
      <c r="K12" s="22" t="n">
        <f aca="false">SUMIFS($F:$F,$D:$D,"Ausgabe",$G:$G,5)</f>
        <v>0</v>
      </c>
      <c r="L12" s="22" t="n">
        <f aca="false">J12-K12</f>
        <v>0</v>
      </c>
    </row>
    <row r="13" customFormat="false" ht="15" hidden="false" customHeight="false" outlineLevel="0" collapsed="false">
      <c r="A13" s="18"/>
      <c r="B13" s="19"/>
      <c r="C13" s="19"/>
      <c r="D13" s="19"/>
      <c r="E13" s="19"/>
      <c r="F13" s="20"/>
      <c r="G13" s="12" t="str">
        <f aca="false">IF($A13="","",MONTH($A13))</f>
        <v/>
      </c>
      <c r="I13" s="21" t="s">
        <v>57</v>
      </c>
      <c r="J13" s="22" t="n">
        <f aca="false">SUMIFS($F:$F,$D:$D,"Einnahme",$G:$G,6)</f>
        <v>0</v>
      </c>
      <c r="K13" s="22" t="n">
        <f aca="false">SUMIFS($F:$F,$D:$D,"Ausgabe",$G:$G,6)</f>
        <v>0</v>
      </c>
      <c r="L13" s="22" t="n">
        <f aca="false">J13-K13</f>
        <v>0</v>
      </c>
    </row>
    <row r="14" customFormat="false" ht="15" hidden="false" customHeight="false" outlineLevel="0" collapsed="false">
      <c r="A14" s="18"/>
      <c r="B14" s="19"/>
      <c r="C14" s="19"/>
      <c r="D14" s="19"/>
      <c r="E14" s="19"/>
      <c r="F14" s="20"/>
      <c r="G14" s="12" t="str">
        <f aca="false">IF($A14="","",MONTH($A14))</f>
        <v/>
      </c>
      <c r="I14" s="21" t="s">
        <v>58</v>
      </c>
      <c r="J14" s="22" t="n">
        <f aca="false">SUMIFS($F:$F,$D:$D,"Einnahme",$G:$G,7)</f>
        <v>0</v>
      </c>
      <c r="K14" s="22" t="n">
        <f aca="false">SUMIFS($F:$F,$D:$D,"Ausgabe",$G:$G,7)</f>
        <v>0</v>
      </c>
      <c r="L14" s="22" t="n">
        <f aca="false">J14-K14</f>
        <v>0</v>
      </c>
    </row>
    <row r="15" customFormat="false" ht="15" hidden="false" customHeight="false" outlineLevel="0" collapsed="false">
      <c r="A15" s="18"/>
      <c r="B15" s="19"/>
      <c r="C15" s="19"/>
      <c r="D15" s="19"/>
      <c r="E15" s="19"/>
      <c r="F15" s="20"/>
      <c r="G15" s="12" t="str">
        <f aca="false">IF($A15="","",MONTH($A15))</f>
        <v/>
      </c>
      <c r="I15" s="21" t="s">
        <v>59</v>
      </c>
      <c r="J15" s="22" t="n">
        <f aca="false">SUMIFS($F:$F,$D:$D,"Einnahme",$G:$G,8)</f>
        <v>0</v>
      </c>
      <c r="K15" s="22" t="n">
        <f aca="false">SUMIFS($F:$F,$D:$D,"Ausgabe",$G:$G,8)</f>
        <v>0</v>
      </c>
      <c r="L15" s="22" t="n">
        <f aca="false">J15-K15</f>
        <v>0</v>
      </c>
    </row>
    <row r="16" customFormat="false" ht="15" hidden="false" customHeight="false" outlineLevel="0" collapsed="false">
      <c r="A16" s="18"/>
      <c r="B16" s="19"/>
      <c r="C16" s="19"/>
      <c r="D16" s="19"/>
      <c r="E16" s="19"/>
      <c r="F16" s="20"/>
      <c r="G16" s="12" t="str">
        <f aca="false">IF($A16="","",MONTH($A16))</f>
        <v/>
      </c>
      <c r="I16" s="21" t="s">
        <v>60</v>
      </c>
      <c r="J16" s="22" t="n">
        <f aca="false">SUMIFS($F:$F,$D:$D,"Einnahme",$G:$G,9)</f>
        <v>0</v>
      </c>
      <c r="K16" s="22" t="n">
        <f aca="false">SUMIFS($F:$F,$D:$D,"Ausgabe",$G:$G,9)</f>
        <v>0</v>
      </c>
      <c r="L16" s="22" t="n">
        <f aca="false">J16-K16</f>
        <v>0</v>
      </c>
    </row>
    <row r="17" customFormat="false" ht="15" hidden="false" customHeight="false" outlineLevel="0" collapsed="false">
      <c r="A17" s="18"/>
      <c r="B17" s="19"/>
      <c r="C17" s="19"/>
      <c r="D17" s="19"/>
      <c r="E17" s="19"/>
      <c r="F17" s="20"/>
      <c r="G17" s="12" t="str">
        <f aca="false">IF($A17="","",MONTH($A17))</f>
        <v/>
      </c>
      <c r="I17" s="21" t="s">
        <v>61</v>
      </c>
      <c r="J17" s="22" t="n">
        <f aca="false">SUMIFS($F:$F,$D:$D,"Einnahme",$G:$G,10)</f>
        <v>0</v>
      </c>
      <c r="K17" s="22" t="n">
        <f aca="false">SUMIFS($F:$F,$D:$D,"Ausgabe",$G:$G,10)</f>
        <v>0</v>
      </c>
      <c r="L17" s="22" t="n">
        <f aca="false">J17-K17</f>
        <v>0</v>
      </c>
    </row>
    <row r="18" customFormat="false" ht="15" hidden="false" customHeight="false" outlineLevel="0" collapsed="false">
      <c r="A18" s="18"/>
      <c r="B18" s="19"/>
      <c r="C18" s="19"/>
      <c r="D18" s="19"/>
      <c r="E18" s="19"/>
      <c r="F18" s="20"/>
      <c r="G18" s="12" t="str">
        <f aca="false">IF($A18="","",MONTH($A18))</f>
        <v/>
      </c>
      <c r="I18" s="21" t="s">
        <v>62</v>
      </c>
      <c r="J18" s="22" t="n">
        <f aca="false">SUMIFS($F:$F,$D:$D,"Einnahme",$G:$G,11)</f>
        <v>0</v>
      </c>
      <c r="K18" s="22" t="n">
        <f aca="false">SUMIFS($F:$F,$D:$D,"Ausgabe",$G:$G,11)</f>
        <v>0</v>
      </c>
      <c r="L18" s="22" t="n">
        <f aca="false">J18-K18</f>
        <v>0</v>
      </c>
    </row>
    <row r="19" customFormat="false" ht="15" hidden="false" customHeight="false" outlineLevel="0" collapsed="false">
      <c r="A19" s="18"/>
      <c r="B19" s="19"/>
      <c r="C19" s="19"/>
      <c r="D19" s="19"/>
      <c r="E19" s="19"/>
      <c r="F19" s="20"/>
      <c r="G19" s="12" t="str">
        <f aca="false">IF($A19="","",MONTH($A19))</f>
        <v/>
      </c>
      <c r="I19" s="21" t="s">
        <v>63</v>
      </c>
      <c r="J19" s="22" t="n">
        <f aca="false">SUMIFS($F:$F,$D:$D,"Einnahme",$G:$G,12)</f>
        <v>0</v>
      </c>
      <c r="K19" s="22" t="n">
        <f aca="false">SUMIFS($F:$F,$D:$D,"Ausgabe",$G:$G,12)</f>
        <v>0</v>
      </c>
      <c r="L19" s="22" t="n">
        <f aca="false">J19-K19</f>
        <v>0</v>
      </c>
    </row>
    <row r="20" customFormat="false" ht="15" hidden="false" customHeight="false" outlineLevel="0" collapsed="false">
      <c r="A20" s="18"/>
      <c r="B20" s="19"/>
      <c r="C20" s="19"/>
      <c r="D20" s="19"/>
      <c r="E20" s="19"/>
      <c r="F20" s="20"/>
      <c r="G20" s="12" t="str">
        <f aca="false">IF($A20="","",MONTH($A20))</f>
        <v/>
      </c>
      <c r="I20" s="23" t="s">
        <v>64</v>
      </c>
      <c r="J20" s="24" t="n">
        <f aca="false">SUM(J8:J19)</f>
        <v>245.8</v>
      </c>
      <c r="K20" s="24" t="n">
        <f aca="false">SUM(K8:K19)</f>
        <v>18.9</v>
      </c>
      <c r="L20" s="24" t="n">
        <f aca="false">SUM(L8:L19)</f>
        <v>226.9</v>
      </c>
    </row>
    <row r="21" customFormat="false" ht="15" hidden="false" customHeight="false" outlineLevel="0" collapsed="false">
      <c r="A21" s="18"/>
      <c r="B21" s="19"/>
      <c r="C21" s="19"/>
      <c r="D21" s="19"/>
      <c r="E21" s="19"/>
      <c r="F21" s="20"/>
      <c r="G21" s="12" t="str">
        <f aca="false">IF($A21="","",MONTH($A21))</f>
        <v/>
      </c>
    </row>
    <row r="22" customFormat="false" ht="15" hidden="false" customHeight="false" outlineLevel="0" collapsed="false">
      <c r="A22" s="18"/>
      <c r="B22" s="19"/>
      <c r="C22" s="19"/>
      <c r="D22" s="19"/>
      <c r="E22" s="19"/>
      <c r="F22" s="20"/>
      <c r="G22" s="12" t="str">
        <f aca="false">IF($A22="","",MONTH($A22))</f>
        <v/>
      </c>
    </row>
    <row r="23" customFormat="false" ht="15" hidden="false" customHeight="false" outlineLevel="0" collapsed="false">
      <c r="A23" s="18"/>
      <c r="B23" s="19"/>
      <c r="C23" s="19"/>
      <c r="D23" s="19"/>
      <c r="E23" s="19"/>
      <c r="F23" s="20"/>
      <c r="G23" s="12" t="str">
        <f aca="false">IF($A23="","",MONTH($A23))</f>
        <v/>
      </c>
    </row>
    <row r="24" customFormat="false" ht="15" hidden="false" customHeight="false" outlineLevel="0" collapsed="false">
      <c r="A24" s="18"/>
      <c r="B24" s="19"/>
      <c r="C24" s="19"/>
      <c r="D24" s="19"/>
      <c r="E24" s="19"/>
      <c r="F24" s="20"/>
      <c r="G24" s="12" t="str">
        <f aca="false">IF($A24="","",MONTH($A24))</f>
        <v/>
      </c>
    </row>
    <row r="25" customFormat="false" ht="15" hidden="false" customHeight="false" outlineLevel="0" collapsed="false">
      <c r="A25" s="18"/>
      <c r="B25" s="19"/>
      <c r="C25" s="19"/>
      <c r="D25" s="19"/>
      <c r="E25" s="19"/>
      <c r="F25" s="20"/>
      <c r="G25" s="12" t="str">
        <f aca="false">IF($A25="","",MONTH($A25))</f>
        <v/>
      </c>
    </row>
    <row r="26" customFormat="false" ht="15" hidden="false" customHeight="false" outlineLevel="0" collapsed="false">
      <c r="A26" s="18"/>
      <c r="B26" s="19"/>
      <c r="C26" s="19"/>
      <c r="D26" s="19"/>
      <c r="E26" s="19"/>
      <c r="F26" s="20"/>
      <c r="G26" s="12" t="str">
        <f aca="false">IF($A26="","",MONTH($A26))</f>
        <v/>
      </c>
    </row>
    <row r="27" customFormat="false" ht="15" hidden="false" customHeight="false" outlineLevel="0" collapsed="false">
      <c r="A27" s="18"/>
      <c r="B27" s="19"/>
      <c r="C27" s="19"/>
      <c r="D27" s="19"/>
      <c r="E27" s="19"/>
      <c r="F27" s="20"/>
      <c r="G27" s="12" t="str">
        <f aca="false">IF($A27="","",MONTH($A27))</f>
        <v/>
      </c>
    </row>
    <row r="28" customFormat="false" ht="15" hidden="false" customHeight="false" outlineLevel="0" collapsed="false">
      <c r="A28" s="18"/>
      <c r="B28" s="19"/>
      <c r="C28" s="19"/>
      <c r="D28" s="19"/>
      <c r="E28" s="19"/>
      <c r="F28" s="20"/>
      <c r="G28" s="12" t="str">
        <f aca="false">IF($A28="","",MONTH($A28))</f>
        <v/>
      </c>
    </row>
    <row r="29" customFormat="false" ht="15" hidden="false" customHeight="false" outlineLevel="0" collapsed="false">
      <c r="A29" s="18"/>
      <c r="B29" s="19"/>
      <c r="C29" s="19"/>
      <c r="D29" s="19"/>
      <c r="E29" s="19"/>
      <c r="F29" s="20"/>
      <c r="G29" s="12" t="str">
        <f aca="false">IF($A29="","",MONTH($A29))</f>
        <v/>
      </c>
    </row>
    <row r="30" customFormat="false" ht="15" hidden="false" customHeight="false" outlineLevel="0" collapsed="false">
      <c r="A30" s="18"/>
      <c r="B30" s="19"/>
      <c r="C30" s="19"/>
      <c r="D30" s="19"/>
      <c r="E30" s="19"/>
      <c r="F30" s="20"/>
      <c r="G30" s="12" t="str">
        <f aca="false">IF($A30="","",MONTH($A30))</f>
        <v/>
      </c>
    </row>
    <row r="31" customFormat="false" ht="15" hidden="false" customHeight="false" outlineLevel="0" collapsed="false">
      <c r="A31" s="18"/>
      <c r="B31" s="19"/>
      <c r="C31" s="19"/>
      <c r="D31" s="19"/>
      <c r="E31" s="19"/>
      <c r="F31" s="20"/>
      <c r="G31" s="12" t="str">
        <f aca="false">IF($A31="","",MONTH($A31))</f>
        <v/>
      </c>
    </row>
    <row r="32" customFormat="false" ht="15" hidden="false" customHeight="false" outlineLevel="0" collapsed="false">
      <c r="A32" s="18"/>
      <c r="B32" s="19"/>
      <c r="C32" s="19"/>
      <c r="D32" s="19"/>
      <c r="E32" s="19"/>
      <c r="F32" s="20"/>
      <c r="G32" s="12" t="str">
        <f aca="false">IF($A32="","",MONTH($A32))</f>
        <v/>
      </c>
    </row>
    <row r="33" customFormat="false" ht="15" hidden="false" customHeight="false" outlineLevel="0" collapsed="false">
      <c r="A33" s="18"/>
      <c r="B33" s="19"/>
      <c r="C33" s="19"/>
      <c r="D33" s="19"/>
      <c r="E33" s="19"/>
      <c r="F33" s="20"/>
      <c r="G33" s="12" t="str">
        <f aca="false">IF($A33="","",MONTH($A33))</f>
        <v/>
      </c>
    </row>
    <row r="34" customFormat="false" ht="15" hidden="false" customHeight="false" outlineLevel="0" collapsed="false">
      <c r="A34" s="18"/>
      <c r="B34" s="19"/>
      <c r="C34" s="19"/>
      <c r="D34" s="19"/>
      <c r="E34" s="19"/>
      <c r="F34" s="20"/>
      <c r="G34" s="12" t="str">
        <f aca="false">IF($A34="","",MONTH($A34))</f>
        <v/>
      </c>
    </row>
    <row r="35" customFormat="false" ht="15" hidden="false" customHeight="false" outlineLevel="0" collapsed="false">
      <c r="A35" s="18"/>
      <c r="B35" s="19"/>
      <c r="C35" s="19"/>
      <c r="D35" s="19"/>
      <c r="E35" s="19"/>
      <c r="F35" s="20"/>
      <c r="G35" s="12" t="str">
        <f aca="false">IF($A35="","",MONTH($A35))</f>
        <v/>
      </c>
    </row>
    <row r="36" customFormat="false" ht="15" hidden="false" customHeight="false" outlineLevel="0" collapsed="false">
      <c r="A36" s="18"/>
      <c r="B36" s="19"/>
      <c r="C36" s="19"/>
      <c r="D36" s="19"/>
      <c r="E36" s="19"/>
      <c r="F36" s="20"/>
      <c r="G36" s="12" t="str">
        <f aca="false">IF($A36="","",MONTH($A36))</f>
        <v/>
      </c>
    </row>
    <row r="37" customFormat="false" ht="15" hidden="false" customHeight="false" outlineLevel="0" collapsed="false">
      <c r="A37" s="18"/>
      <c r="B37" s="19"/>
      <c r="C37" s="19"/>
      <c r="D37" s="19"/>
      <c r="E37" s="19"/>
      <c r="F37" s="20"/>
      <c r="G37" s="12" t="str">
        <f aca="false">IF($A37="","",MONTH($A37))</f>
        <v/>
      </c>
    </row>
    <row r="38" customFormat="false" ht="15" hidden="false" customHeight="false" outlineLevel="0" collapsed="false">
      <c r="A38" s="18"/>
      <c r="B38" s="19"/>
      <c r="C38" s="19"/>
      <c r="D38" s="19"/>
      <c r="E38" s="19"/>
      <c r="F38" s="20"/>
      <c r="G38" s="12" t="str">
        <f aca="false">IF($A38="","",MONTH($A38))</f>
        <v/>
      </c>
    </row>
    <row r="39" customFormat="false" ht="15" hidden="false" customHeight="false" outlineLevel="0" collapsed="false">
      <c r="A39" s="18"/>
      <c r="B39" s="19"/>
      <c r="C39" s="19"/>
      <c r="D39" s="19"/>
      <c r="E39" s="19"/>
      <c r="F39" s="20"/>
      <c r="G39" s="12" t="str">
        <f aca="false">IF($A39="","",MONTH($A39))</f>
        <v/>
      </c>
    </row>
    <row r="40" customFormat="false" ht="15" hidden="false" customHeight="false" outlineLevel="0" collapsed="false">
      <c r="A40" s="18"/>
      <c r="B40" s="19"/>
      <c r="C40" s="19"/>
      <c r="D40" s="19"/>
      <c r="E40" s="19"/>
      <c r="F40" s="20"/>
      <c r="G40" s="12" t="str">
        <f aca="false">IF($A40="","",MONTH($A40))</f>
        <v/>
      </c>
    </row>
    <row r="41" customFormat="false" ht="15" hidden="false" customHeight="false" outlineLevel="0" collapsed="false">
      <c r="A41" s="18"/>
      <c r="B41" s="19"/>
      <c r="C41" s="19"/>
      <c r="D41" s="19"/>
      <c r="E41" s="19"/>
      <c r="F41" s="20"/>
      <c r="G41" s="12" t="str">
        <f aca="false">IF($A41="","",MONTH($A41))</f>
        <v/>
      </c>
    </row>
    <row r="42" customFormat="false" ht="15" hidden="false" customHeight="false" outlineLevel="0" collapsed="false">
      <c r="A42" s="18"/>
      <c r="B42" s="19"/>
      <c r="C42" s="19"/>
      <c r="D42" s="19"/>
      <c r="E42" s="19"/>
      <c r="F42" s="20"/>
      <c r="G42" s="12" t="str">
        <f aca="false">IF($A42="","",MONTH($A42))</f>
        <v/>
      </c>
    </row>
    <row r="43" customFormat="false" ht="15" hidden="false" customHeight="false" outlineLevel="0" collapsed="false">
      <c r="A43" s="18"/>
      <c r="B43" s="19"/>
      <c r="C43" s="19"/>
      <c r="D43" s="19"/>
      <c r="E43" s="19"/>
      <c r="F43" s="20"/>
      <c r="G43" s="12" t="str">
        <f aca="false">IF($A43="","",MONTH($A43))</f>
        <v/>
      </c>
    </row>
    <row r="44" customFormat="false" ht="15" hidden="false" customHeight="false" outlineLevel="0" collapsed="false">
      <c r="A44" s="18"/>
      <c r="B44" s="19"/>
      <c r="C44" s="19"/>
      <c r="D44" s="19"/>
      <c r="E44" s="19"/>
      <c r="F44" s="20"/>
      <c r="G44" s="12" t="str">
        <f aca="false">IF($A44="","",MONTH($A44))</f>
        <v/>
      </c>
    </row>
    <row r="45" customFormat="false" ht="15" hidden="false" customHeight="false" outlineLevel="0" collapsed="false">
      <c r="A45" s="18"/>
      <c r="B45" s="19"/>
      <c r="C45" s="19"/>
      <c r="D45" s="19"/>
      <c r="E45" s="19"/>
      <c r="F45" s="20"/>
      <c r="G45" s="12" t="str">
        <f aca="false">IF($A45="","",MONTH($A45))</f>
        <v/>
      </c>
    </row>
    <row r="46" customFormat="false" ht="15" hidden="false" customHeight="false" outlineLevel="0" collapsed="false">
      <c r="A46" s="18"/>
      <c r="B46" s="19"/>
      <c r="C46" s="19"/>
      <c r="D46" s="19"/>
      <c r="E46" s="19"/>
      <c r="F46" s="20"/>
      <c r="G46" s="12" t="str">
        <f aca="false">IF($A46="","",MONTH($A46))</f>
        <v/>
      </c>
    </row>
    <row r="47" customFormat="false" ht="15" hidden="false" customHeight="false" outlineLevel="0" collapsed="false">
      <c r="A47" s="18"/>
      <c r="B47" s="19"/>
      <c r="C47" s="19"/>
      <c r="D47" s="19"/>
      <c r="E47" s="19"/>
      <c r="F47" s="20"/>
      <c r="G47" s="12" t="str">
        <f aca="false">IF($A47="","",MONTH($A47))</f>
        <v/>
      </c>
    </row>
    <row r="48" customFormat="false" ht="15" hidden="false" customHeight="false" outlineLevel="0" collapsed="false">
      <c r="A48" s="18"/>
      <c r="B48" s="19"/>
      <c r="C48" s="19"/>
      <c r="D48" s="19"/>
      <c r="E48" s="19"/>
      <c r="F48" s="20"/>
      <c r="G48" s="12" t="str">
        <f aca="false">IF($A48="","",MONTH($A48))</f>
        <v/>
      </c>
    </row>
    <row r="49" customFormat="false" ht="15" hidden="false" customHeight="false" outlineLevel="0" collapsed="false">
      <c r="A49" s="18"/>
      <c r="B49" s="19"/>
      <c r="C49" s="19"/>
      <c r="D49" s="19"/>
      <c r="E49" s="19"/>
      <c r="F49" s="20"/>
      <c r="G49" s="12" t="str">
        <f aca="false">IF($A49="","",MONTH($A49))</f>
        <v/>
      </c>
    </row>
    <row r="50" customFormat="false" ht="15" hidden="false" customHeight="false" outlineLevel="0" collapsed="false">
      <c r="A50" s="18"/>
      <c r="B50" s="19"/>
      <c r="C50" s="19"/>
      <c r="D50" s="19"/>
      <c r="E50" s="19"/>
      <c r="F50" s="20"/>
      <c r="G50" s="12" t="str">
        <f aca="false">IF($A50="","",MONTH($A50))</f>
        <v/>
      </c>
    </row>
    <row r="51" customFormat="false" ht="15" hidden="false" customHeight="false" outlineLevel="0" collapsed="false">
      <c r="A51" s="18"/>
      <c r="B51" s="19"/>
      <c r="C51" s="19"/>
      <c r="D51" s="19"/>
      <c r="E51" s="19"/>
      <c r="F51" s="20"/>
      <c r="G51" s="12" t="str">
        <f aca="false">IF($A51="","",MONTH($A51))</f>
        <v/>
      </c>
    </row>
    <row r="52" customFormat="false" ht="15" hidden="false" customHeight="false" outlineLevel="0" collapsed="false">
      <c r="A52" s="18"/>
      <c r="B52" s="19"/>
      <c r="C52" s="19"/>
      <c r="D52" s="19"/>
      <c r="E52" s="19"/>
      <c r="F52" s="20"/>
      <c r="G52" s="12" t="str">
        <f aca="false">IF($A52="","",MONTH($A52))</f>
        <v/>
      </c>
    </row>
    <row r="53" customFormat="false" ht="15" hidden="false" customHeight="false" outlineLevel="0" collapsed="false">
      <c r="A53" s="18"/>
      <c r="B53" s="19"/>
      <c r="C53" s="19"/>
      <c r="D53" s="19"/>
      <c r="E53" s="19"/>
      <c r="F53" s="20"/>
      <c r="G53" s="12" t="str">
        <f aca="false">IF($A53="","",MONTH($A53))</f>
        <v/>
      </c>
    </row>
    <row r="54" customFormat="false" ht="15" hidden="false" customHeight="false" outlineLevel="0" collapsed="false">
      <c r="A54" s="18"/>
      <c r="B54" s="19"/>
      <c r="C54" s="19"/>
      <c r="D54" s="19"/>
      <c r="E54" s="19"/>
      <c r="F54" s="20"/>
      <c r="G54" s="12" t="str">
        <f aca="false">IF($A54="","",MONTH($A54))</f>
        <v/>
      </c>
    </row>
    <row r="55" customFormat="false" ht="15" hidden="false" customHeight="false" outlineLevel="0" collapsed="false">
      <c r="A55" s="18"/>
      <c r="B55" s="19"/>
      <c r="C55" s="19"/>
      <c r="D55" s="19"/>
      <c r="E55" s="19"/>
      <c r="F55" s="20"/>
      <c r="G55" s="12" t="str">
        <f aca="false">IF($A55="","",MONTH($A55))</f>
        <v/>
      </c>
    </row>
    <row r="56" customFormat="false" ht="15" hidden="false" customHeight="false" outlineLevel="0" collapsed="false">
      <c r="A56" s="18"/>
      <c r="B56" s="19"/>
      <c r="C56" s="19"/>
      <c r="D56" s="19"/>
      <c r="E56" s="19"/>
      <c r="F56" s="20"/>
      <c r="G56" s="12" t="str">
        <f aca="false">IF($A56="","",MONTH($A56))</f>
        <v/>
      </c>
    </row>
    <row r="57" customFormat="false" ht="15" hidden="false" customHeight="false" outlineLevel="0" collapsed="false">
      <c r="A57" s="18"/>
      <c r="B57" s="19"/>
      <c r="C57" s="19"/>
      <c r="D57" s="19"/>
      <c r="E57" s="19"/>
      <c r="F57" s="20"/>
      <c r="G57" s="12" t="str">
        <f aca="false">IF($A57="","",MONTH($A57))</f>
        <v/>
      </c>
    </row>
    <row r="58" customFormat="false" ht="15" hidden="false" customHeight="false" outlineLevel="0" collapsed="false">
      <c r="A58" s="18"/>
      <c r="B58" s="19"/>
      <c r="C58" s="19"/>
      <c r="D58" s="19"/>
      <c r="E58" s="19"/>
      <c r="F58" s="20"/>
      <c r="G58" s="12" t="str">
        <f aca="false">IF($A58="","",MONTH($A58))</f>
        <v/>
      </c>
    </row>
    <row r="59" customFormat="false" ht="15" hidden="false" customHeight="false" outlineLevel="0" collapsed="false">
      <c r="A59" s="18"/>
      <c r="B59" s="19"/>
      <c r="C59" s="19"/>
      <c r="D59" s="19"/>
      <c r="E59" s="19"/>
      <c r="F59" s="20"/>
      <c r="G59" s="12" t="str">
        <f aca="false">IF($A59="","",MONTH($A59))</f>
        <v/>
      </c>
    </row>
    <row r="60" customFormat="false" ht="15" hidden="false" customHeight="false" outlineLevel="0" collapsed="false">
      <c r="A60" s="18"/>
      <c r="B60" s="19"/>
      <c r="C60" s="19"/>
      <c r="D60" s="19"/>
      <c r="E60" s="19"/>
      <c r="F60" s="20"/>
      <c r="G60" s="12" t="str">
        <f aca="false">IF($A60="","",MONTH($A60))</f>
        <v/>
      </c>
    </row>
    <row r="61" customFormat="false" ht="15" hidden="false" customHeight="false" outlineLevel="0" collapsed="false">
      <c r="A61" s="18"/>
      <c r="B61" s="19"/>
      <c r="C61" s="19"/>
      <c r="D61" s="19"/>
      <c r="E61" s="19"/>
      <c r="F61" s="20"/>
      <c r="G61" s="12" t="str">
        <f aca="false">IF($A61="","",MONTH($A61))</f>
        <v/>
      </c>
    </row>
    <row r="62" customFormat="false" ht="15" hidden="false" customHeight="false" outlineLevel="0" collapsed="false">
      <c r="A62" s="18"/>
      <c r="B62" s="19"/>
      <c r="C62" s="19"/>
      <c r="D62" s="19"/>
      <c r="E62" s="19"/>
      <c r="F62" s="20"/>
      <c r="G62" s="12" t="str">
        <f aca="false">IF($A62="","",MONTH($A62))</f>
        <v/>
      </c>
    </row>
    <row r="63" customFormat="false" ht="15" hidden="false" customHeight="false" outlineLevel="0" collapsed="false">
      <c r="A63" s="18"/>
      <c r="B63" s="19"/>
      <c r="C63" s="19"/>
      <c r="D63" s="19"/>
      <c r="E63" s="19"/>
      <c r="F63" s="20"/>
      <c r="G63" s="12" t="str">
        <f aca="false">IF($A63="","",MONTH($A63))</f>
        <v/>
      </c>
    </row>
    <row r="64" customFormat="false" ht="15" hidden="false" customHeight="false" outlineLevel="0" collapsed="false">
      <c r="A64" s="18"/>
      <c r="B64" s="19"/>
      <c r="C64" s="19"/>
      <c r="D64" s="19"/>
      <c r="E64" s="19"/>
      <c r="F64" s="20"/>
      <c r="G64" s="12" t="str">
        <f aca="false">IF($A64="","",MONTH($A64))</f>
        <v/>
      </c>
    </row>
    <row r="65" customFormat="false" ht="15" hidden="false" customHeight="false" outlineLevel="0" collapsed="false">
      <c r="A65" s="18"/>
      <c r="B65" s="19"/>
      <c r="C65" s="19"/>
      <c r="D65" s="19"/>
      <c r="E65" s="19"/>
      <c r="F65" s="20"/>
      <c r="G65" s="12" t="str">
        <f aca="false">IF($A65="","",MONTH($A65))</f>
        <v/>
      </c>
    </row>
    <row r="66" customFormat="false" ht="15" hidden="false" customHeight="false" outlineLevel="0" collapsed="false">
      <c r="A66" s="18"/>
      <c r="B66" s="19"/>
      <c r="C66" s="19"/>
      <c r="D66" s="19"/>
      <c r="E66" s="19"/>
      <c r="F66" s="20"/>
      <c r="G66" s="12" t="str">
        <f aca="false">IF($A66="","",MONTH($A66))</f>
        <v/>
      </c>
    </row>
    <row r="67" customFormat="false" ht="15" hidden="false" customHeight="false" outlineLevel="0" collapsed="false">
      <c r="A67" s="18"/>
      <c r="B67" s="19"/>
      <c r="C67" s="19"/>
      <c r="D67" s="19"/>
      <c r="E67" s="19"/>
      <c r="F67" s="20"/>
      <c r="G67" s="12" t="str">
        <f aca="false">IF($A67="","",MONTH($A67))</f>
        <v/>
      </c>
    </row>
    <row r="68" customFormat="false" ht="15" hidden="false" customHeight="false" outlineLevel="0" collapsed="false">
      <c r="A68" s="18"/>
      <c r="B68" s="19"/>
      <c r="C68" s="19"/>
      <c r="D68" s="19"/>
      <c r="E68" s="19"/>
      <c r="F68" s="20"/>
      <c r="G68" s="12" t="str">
        <f aca="false">IF($A68="","",MONTH($A68))</f>
        <v/>
      </c>
    </row>
    <row r="69" customFormat="false" ht="15" hidden="false" customHeight="false" outlineLevel="0" collapsed="false">
      <c r="A69" s="18"/>
      <c r="B69" s="19"/>
      <c r="C69" s="19"/>
      <c r="D69" s="19"/>
      <c r="E69" s="19"/>
      <c r="F69" s="20"/>
      <c r="G69" s="12" t="str">
        <f aca="false">IF($A69="","",MONTH($A69))</f>
        <v/>
      </c>
    </row>
    <row r="70" customFormat="false" ht="15" hidden="false" customHeight="false" outlineLevel="0" collapsed="false">
      <c r="A70" s="18"/>
      <c r="B70" s="19"/>
      <c r="C70" s="19"/>
      <c r="D70" s="19"/>
      <c r="E70" s="19"/>
      <c r="F70" s="20"/>
      <c r="G70" s="12" t="str">
        <f aca="false">IF($A70="","",MONTH($A70))</f>
        <v/>
      </c>
    </row>
    <row r="71" customFormat="false" ht="15" hidden="false" customHeight="false" outlineLevel="0" collapsed="false">
      <c r="A71" s="18"/>
      <c r="B71" s="19"/>
      <c r="C71" s="19"/>
      <c r="D71" s="19"/>
      <c r="E71" s="19"/>
      <c r="F71" s="20"/>
      <c r="G71" s="12" t="str">
        <f aca="false">IF($A71="","",MONTH($A71))</f>
        <v/>
      </c>
    </row>
    <row r="72" customFormat="false" ht="15" hidden="false" customHeight="false" outlineLevel="0" collapsed="false">
      <c r="A72" s="18"/>
      <c r="B72" s="19"/>
      <c r="C72" s="19"/>
      <c r="D72" s="19"/>
      <c r="E72" s="19"/>
      <c r="F72" s="20"/>
      <c r="G72" s="12" t="str">
        <f aca="false">IF($A72="","",MONTH($A72))</f>
        <v/>
      </c>
    </row>
    <row r="73" customFormat="false" ht="15" hidden="false" customHeight="false" outlineLevel="0" collapsed="false">
      <c r="A73" s="18"/>
      <c r="B73" s="19"/>
      <c r="C73" s="19"/>
      <c r="D73" s="19"/>
      <c r="E73" s="19"/>
      <c r="F73" s="20"/>
      <c r="G73" s="12" t="str">
        <f aca="false">IF($A73="","",MONTH($A73))</f>
        <v/>
      </c>
    </row>
    <row r="74" customFormat="false" ht="15" hidden="false" customHeight="false" outlineLevel="0" collapsed="false">
      <c r="A74" s="18"/>
      <c r="B74" s="19"/>
      <c r="C74" s="19"/>
      <c r="D74" s="19"/>
      <c r="E74" s="19"/>
      <c r="F74" s="20"/>
      <c r="G74" s="12" t="str">
        <f aca="false">IF($A74="","",MONTH($A74))</f>
        <v/>
      </c>
    </row>
    <row r="75" customFormat="false" ht="15" hidden="false" customHeight="false" outlineLevel="0" collapsed="false">
      <c r="A75" s="18"/>
      <c r="B75" s="19"/>
      <c r="C75" s="19"/>
      <c r="D75" s="19"/>
      <c r="E75" s="19"/>
      <c r="F75" s="20"/>
      <c r="G75" s="12" t="str">
        <f aca="false">IF($A75="","",MONTH($A75))</f>
        <v/>
      </c>
    </row>
    <row r="76" customFormat="false" ht="15" hidden="false" customHeight="false" outlineLevel="0" collapsed="false">
      <c r="A76" s="18"/>
      <c r="B76" s="19"/>
      <c r="C76" s="19"/>
      <c r="D76" s="19"/>
      <c r="E76" s="19"/>
      <c r="F76" s="20"/>
      <c r="G76" s="12" t="str">
        <f aca="false">IF($A76="","",MONTH($A76))</f>
        <v/>
      </c>
    </row>
    <row r="77" customFormat="false" ht="15" hidden="false" customHeight="false" outlineLevel="0" collapsed="false">
      <c r="A77" s="18"/>
      <c r="B77" s="19"/>
      <c r="C77" s="19"/>
      <c r="D77" s="19"/>
      <c r="E77" s="19"/>
      <c r="F77" s="20"/>
      <c r="G77" s="12" t="str">
        <f aca="false">IF($A77="","",MONTH($A77))</f>
        <v/>
      </c>
    </row>
    <row r="78" customFormat="false" ht="15" hidden="false" customHeight="false" outlineLevel="0" collapsed="false">
      <c r="A78" s="18"/>
      <c r="B78" s="19"/>
      <c r="C78" s="19"/>
      <c r="D78" s="19"/>
      <c r="E78" s="19"/>
      <c r="F78" s="20"/>
      <c r="G78" s="12" t="str">
        <f aca="false">IF($A78="","",MONTH($A78))</f>
        <v/>
      </c>
    </row>
    <row r="79" customFormat="false" ht="15" hidden="false" customHeight="false" outlineLevel="0" collapsed="false">
      <c r="A79" s="18"/>
      <c r="B79" s="19"/>
      <c r="C79" s="19"/>
      <c r="D79" s="19"/>
      <c r="E79" s="19"/>
      <c r="F79" s="20"/>
      <c r="G79" s="12" t="str">
        <f aca="false">IF($A79="","",MONTH($A79))</f>
        <v/>
      </c>
    </row>
    <row r="80" customFormat="false" ht="15" hidden="false" customHeight="false" outlineLevel="0" collapsed="false">
      <c r="A80" s="18"/>
      <c r="B80" s="19"/>
      <c r="C80" s="19"/>
      <c r="D80" s="19"/>
      <c r="E80" s="19"/>
      <c r="F80" s="20"/>
      <c r="G80" s="12" t="str">
        <f aca="false">IF($A80="","",MONTH($A80))</f>
        <v/>
      </c>
    </row>
    <row r="81" customFormat="false" ht="15" hidden="false" customHeight="false" outlineLevel="0" collapsed="false">
      <c r="A81" s="18"/>
      <c r="B81" s="19"/>
      <c r="C81" s="19"/>
      <c r="D81" s="19"/>
      <c r="E81" s="19"/>
      <c r="F81" s="20"/>
      <c r="G81" s="12" t="str">
        <f aca="false">IF($A81="","",MONTH($A81))</f>
        <v/>
      </c>
    </row>
    <row r="82" customFormat="false" ht="15" hidden="false" customHeight="false" outlineLevel="0" collapsed="false">
      <c r="A82" s="18"/>
      <c r="B82" s="19"/>
      <c r="C82" s="19"/>
      <c r="D82" s="19"/>
      <c r="E82" s="19"/>
      <c r="F82" s="20"/>
      <c r="G82" s="12" t="str">
        <f aca="false">IF($A82="","",MONTH($A82))</f>
        <v/>
      </c>
    </row>
    <row r="83" customFormat="false" ht="15" hidden="false" customHeight="false" outlineLevel="0" collapsed="false">
      <c r="A83" s="18"/>
      <c r="B83" s="19"/>
      <c r="C83" s="19"/>
      <c r="D83" s="19"/>
      <c r="E83" s="19"/>
      <c r="F83" s="20"/>
      <c r="G83" s="12" t="str">
        <f aca="false">IF($A83="","",MONTH($A83))</f>
        <v/>
      </c>
    </row>
    <row r="84" customFormat="false" ht="15" hidden="false" customHeight="false" outlineLevel="0" collapsed="false">
      <c r="A84" s="18"/>
      <c r="B84" s="19"/>
      <c r="C84" s="19"/>
      <c r="D84" s="19"/>
      <c r="E84" s="19"/>
      <c r="F84" s="20"/>
      <c r="G84" s="12" t="str">
        <f aca="false">IF($A84="","",MONTH($A84))</f>
        <v/>
      </c>
    </row>
    <row r="85" customFormat="false" ht="15" hidden="false" customHeight="false" outlineLevel="0" collapsed="false">
      <c r="A85" s="18"/>
      <c r="B85" s="19"/>
      <c r="C85" s="19"/>
      <c r="D85" s="19"/>
      <c r="E85" s="19"/>
      <c r="F85" s="20"/>
      <c r="G85" s="12" t="str">
        <f aca="false">IF($A85="","",MONTH($A85))</f>
        <v/>
      </c>
    </row>
    <row r="86" customFormat="false" ht="15" hidden="false" customHeight="false" outlineLevel="0" collapsed="false">
      <c r="A86" s="18"/>
      <c r="B86" s="19"/>
      <c r="C86" s="19"/>
      <c r="D86" s="19"/>
      <c r="E86" s="19"/>
      <c r="F86" s="20"/>
      <c r="G86" s="12" t="str">
        <f aca="false">IF($A86="","",MONTH($A86))</f>
        <v/>
      </c>
    </row>
    <row r="87" customFormat="false" ht="15" hidden="false" customHeight="false" outlineLevel="0" collapsed="false">
      <c r="A87" s="18"/>
      <c r="B87" s="19"/>
      <c r="C87" s="19"/>
      <c r="D87" s="19"/>
      <c r="E87" s="19"/>
      <c r="F87" s="20"/>
      <c r="G87" s="12" t="str">
        <f aca="false">IF($A87="","",MONTH($A87))</f>
        <v/>
      </c>
    </row>
    <row r="88" customFormat="false" ht="15" hidden="false" customHeight="false" outlineLevel="0" collapsed="false">
      <c r="A88" s="18"/>
      <c r="B88" s="19"/>
      <c r="C88" s="19"/>
      <c r="D88" s="19"/>
      <c r="E88" s="19"/>
      <c r="F88" s="20"/>
      <c r="G88" s="12" t="str">
        <f aca="false">IF($A88="","",MONTH($A88))</f>
        <v/>
      </c>
    </row>
    <row r="89" customFormat="false" ht="15" hidden="false" customHeight="false" outlineLevel="0" collapsed="false">
      <c r="A89" s="18"/>
      <c r="B89" s="19"/>
      <c r="C89" s="19"/>
      <c r="D89" s="19"/>
      <c r="E89" s="19"/>
      <c r="F89" s="20"/>
      <c r="G89" s="12" t="str">
        <f aca="false">IF($A89="","",MONTH($A89))</f>
        <v/>
      </c>
    </row>
    <row r="90" customFormat="false" ht="15" hidden="false" customHeight="false" outlineLevel="0" collapsed="false">
      <c r="A90" s="18"/>
      <c r="B90" s="19"/>
      <c r="C90" s="19"/>
      <c r="D90" s="19"/>
      <c r="E90" s="19"/>
      <c r="F90" s="20"/>
      <c r="G90" s="12" t="str">
        <f aca="false">IF($A90="","",MONTH($A90))</f>
        <v/>
      </c>
    </row>
    <row r="91" customFormat="false" ht="15" hidden="false" customHeight="false" outlineLevel="0" collapsed="false">
      <c r="A91" s="18"/>
      <c r="B91" s="19"/>
      <c r="C91" s="19"/>
      <c r="D91" s="19"/>
      <c r="E91" s="19"/>
      <c r="F91" s="20"/>
      <c r="G91" s="12" t="str">
        <f aca="false">IF($A91="","",MONTH($A91))</f>
        <v/>
      </c>
    </row>
    <row r="92" customFormat="false" ht="15" hidden="false" customHeight="false" outlineLevel="0" collapsed="false">
      <c r="A92" s="18"/>
      <c r="B92" s="19"/>
      <c r="C92" s="19"/>
      <c r="D92" s="19"/>
      <c r="E92" s="19"/>
      <c r="F92" s="20"/>
      <c r="G92" s="12" t="str">
        <f aca="false">IF($A92="","",MONTH($A92))</f>
        <v/>
      </c>
    </row>
    <row r="93" customFormat="false" ht="15" hidden="false" customHeight="false" outlineLevel="0" collapsed="false">
      <c r="A93" s="18"/>
      <c r="B93" s="19"/>
      <c r="C93" s="19"/>
      <c r="D93" s="19"/>
      <c r="E93" s="19"/>
      <c r="F93" s="20"/>
      <c r="G93" s="12" t="str">
        <f aca="false">IF($A93="","",MONTH($A93))</f>
        <v/>
      </c>
    </row>
    <row r="94" customFormat="false" ht="15" hidden="false" customHeight="false" outlineLevel="0" collapsed="false">
      <c r="A94" s="18"/>
      <c r="B94" s="19"/>
      <c r="C94" s="19"/>
      <c r="D94" s="19"/>
      <c r="E94" s="19"/>
      <c r="F94" s="20"/>
      <c r="G94" s="12" t="str">
        <f aca="false">IF($A94="","",MONTH($A94))</f>
        <v/>
      </c>
    </row>
    <row r="95" customFormat="false" ht="15" hidden="false" customHeight="false" outlineLevel="0" collapsed="false">
      <c r="A95" s="18"/>
      <c r="B95" s="19"/>
      <c r="C95" s="19"/>
      <c r="D95" s="19"/>
      <c r="E95" s="19"/>
      <c r="F95" s="20"/>
      <c r="G95" s="12" t="str">
        <f aca="false">IF($A95="","",MONTH($A95))</f>
        <v/>
      </c>
    </row>
    <row r="96" customFormat="false" ht="15" hidden="false" customHeight="false" outlineLevel="0" collapsed="false">
      <c r="A96" s="18"/>
      <c r="B96" s="19"/>
      <c r="C96" s="19"/>
      <c r="D96" s="19"/>
      <c r="E96" s="19"/>
      <c r="F96" s="20"/>
      <c r="G96" s="12" t="str">
        <f aca="false">IF($A96="","",MONTH($A96))</f>
        <v/>
      </c>
    </row>
    <row r="97" customFormat="false" ht="15" hidden="false" customHeight="false" outlineLevel="0" collapsed="false">
      <c r="A97" s="18"/>
      <c r="B97" s="19"/>
      <c r="C97" s="19"/>
      <c r="D97" s="19"/>
      <c r="E97" s="19"/>
      <c r="F97" s="20"/>
      <c r="G97" s="12" t="str">
        <f aca="false">IF($A97="","",MONTH($A97))</f>
        <v/>
      </c>
    </row>
    <row r="98" customFormat="false" ht="15" hidden="false" customHeight="false" outlineLevel="0" collapsed="false">
      <c r="A98" s="18"/>
      <c r="B98" s="19"/>
      <c r="C98" s="19"/>
      <c r="D98" s="19"/>
      <c r="E98" s="19"/>
      <c r="F98" s="20"/>
      <c r="G98" s="12" t="str">
        <f aca="false">IF($A98="","",MONTH($A98))</f>
        <v/>
      </c>
    </row>
    <row r="99" customFormat="false" ht="15" hidden="false" customHeight="false" outlineLevel="0" collapsed="false">
      <c r="A99" s="18"/>
      <c r="B99" s="19"/>
      <c r="C99" s="19"/>
      <c r="D99" s="19"/>
      <c r="E99" s="19"/>
      <c r="F99" s="20"/>
      <c r="G99" s="12" t="str">
        <f aca="false">IF($A99="","",MONTH($A99))</f>
        <v/>
      </c>
    </row>
    <row r="100" customFormat="false" ht="15" hidden="false" customHeight="false" outlineLevel="0" collapsed="false">
      <c r="A100" s="18"/>
      <c r="B100" s="19"/>
      <c r="C100" s="19"/>
      <c r="D100" s="19"/>
      <c r="E100" s="19"/>
      <c r="F100" s="20"/>
      <c r="G100" s="12" t="str">
        <f aca="false">IF($A100="","",MONTH($A100))</f>
        <v/>
      </c>
    </row>
    <row r="101" customFormat="false" ht="15" hidden="false" customHeight="false" outlineLevel="0" collapsed="false">
      <c r="A101" s="18"/>
      <c r="B101" s="19"/>
      <c r="C101" s="19"/>
      <c r="D101" s="19"/>
      <c r="E101" s="19"/>
      <c r="F101" s="20"/>
      <c r="G101" s="12" t="str">
        <f aca="false">IF($A101="","",MONTH($A101))</f>
        <v/>
      </c>
    </row>
    <row r="102" customFormat="false" ht="15" hidden="false" customHeight="false" outlineLevel="0" collapsed="false">
      <c r="A102" s="18"/>
      <c r="B102" s="19"/>
      <c r="C102" s="19"/>
      <c r="D102" s="19"/>
      <c r="E102" s="19"/>
      <c r="F102" s="20"/>
      <c r="G102" s="12" t="str">
        <f aca="false">IF($A102="","",MONTH($A102))</f>
        <v/>
      </c>
    </row>
    <row r="103" customFormat="false" ht="15" hidden="false" customHeight="false" outlineLevel="0" collapsed="false">
      <c r="A103" s="18"/>
      <c r="B103" s="19"/>
      <c r="C103" s="19"/>
      <c r="D103" s="19"/>
      <c r="E103" s="19"/>
      <c r="F103" s="20"/>
      <c r="G103" s="12" t="str">
        <f aca="false">IF($A103="","",MONTH($A103))</f>
        <v/>
      </c>
    </row>
    <row r="104" customFormat="false" ht="15" hidden="false" customHeight="false" outlineLevel="0" collapsed="false">
      <c r="A104" s="18"/>
      <c r="B104" s="19"/>
      <c r="C104" s="19"/>
      <c r="D104" s="19"/>
      <c r="E104" s="19"/>
      <c r="F104" s="20"/>
      <c r="G104" s="12" t="str">
        <f aca="false">IF($A104="","",MONTH($A104))</f>
        <v/>
      </c>
    </row>
    <row r="105" customFormat="false" ht="15" hidden="false" customHeight="false" outlineLevel="0" collapsed="false">
      <c r="A105" s="18"/>
      <c r="B105" s="19"/>
      <c r="C105" s="19"/>
      <c r="D105" s="19"/>
      <c r="E105" s="19"/>
      <c r="F105" s="20"/>
      <c r="G105" s="12" t="str">
        <f aca="false">IF($A105="","",MONTH($A105))</f>
        <v/>
      </c>
    </row>
    <row r="106" customFormat="false" ht="15" hidden="false" customHeight="false" outlineLevel="0" collapsed="false">
      <c r="A106" s="18"/>
      <c r="B106" s="19"/>
      <c r="C106" s="19"/>
      <c r="D106" s="19"/>
      <c r="E106" s="19"/>
      <c r="F106" s="20"/>
      <c r="G106" s="12" t="str">
        <f aca="false">IF($A106="","",MONTH($A106))</f>
        <v/>
      </c>
    </row>
    <row r="107" customFormat="false" ht="15" hidden="false" customHeight="false" outlineLevel="0" collapsed="false">
      <c r="A107" s="18"/>
      <c r="B107" s="19"/>
      <c r="C107" s="19"/>
      <c r="D107" s="19"/>
      <c r="E107" s="19"/>
      <c r="F107" s="20"/>
      <c r="G107" s="12" t="str">
        <f aca="false">IF($A107="","",MONTH($A107))</f>
        <v/>
      </c>
    </row>
    <row r="108" customFormat="false" ht="15" hidden="false" customHeight="false" outlineLevel="0" collapsed="false">
      <c r="A108" s="18"/>
      <c r="B108" s="19"/>
      <c r="C108" s="19"/>
      <c r="D108" s="19"/>
      <c r="E108" s="19"/>
      <c r="F108" s="20"/>
      <c r="G108" s="12" t="str">
        <f aca="false">IF($A108="","",MONTH($A108))</f>
        <v/>
      </c>
    </row>
    <row r="109" customFormat="false" ht="15" hidden="false" customHeight="false" outlineLevel="0" collapsed="false">
      <c r="A109" s="18"/>
      <c r="B109" s="19"/>
      <c r="C109" s="19"/>
      <c r="D109" s="19"/>
      <c r="E109" s="19"/>
      <c r="F109" s="20"/>
      <c r="G109" s="12" t="str">
        <f aca="false">IF($A109="","",MONTH($A109))</f>
        <v/>
      </c>
    </row>
    <row r="110" customFormat="false" ht="15" hidden="false" customHeight="false" outlineLevel="0" collapsed="false">
      <c r="A110" s="18"/>
      <c r="B110" s="19"/>
      <c r="C110" s="19"/>
      <c r="D110" s="19"/>
      <c r="E110" s="19"/>
      <c r="F110" s="20"/>
      <c r="G110" s="12" t="str">
        <f aca="false">IF($A110="","",MONTH($A110))</f>
        <v/>
      </c>
    </row>
    <row r="111" customFormat="false" ht="15" hidden="false" customHeight="false" outlineLevel="0" collapsed="false">
      <c r="A111" s="18"/>
      <c r="B111" s="19"/>
      <c r="C111" s="19"/>
      <c r="D111" s="19"/>
      <c r="E111" s="19"/>
      <c r="F111" s="20"/>
      <c r="G111" s="12" t="str">
        <f aca="false">IF($A111="","",MONTH($A111))</f>
        <v/>
      </c>
    </row>
    <row r="112" customFormat="false" ht="15" hidden="false" customHeight="false" outlineLevel="0" collapsed="false">
      <c r="A112" s="18"/>
      <c r="B112" s="19"/>
      <c r="C112" s="19"/>
      <c r="D112" s="19"/>
      <c r="E112" s="19"/>
      <c r="F112" s="20"/>
      <c r="G112" s="12" t="str">
        <f aca="false">IF($A112="","",MONTH($A112))</f>
        <v/>
      </c>
    </row>
    <row r="113" customFormat="false" ht="15" hidden="false" customHeight="false" outlineLevel="0" collapsed="false">
      <c r="A113" s="18"/>
      <c r="B113" s="19"/>
      <c r="C113" s="19"/>
      <c r="D113" s="19"/>
      <c r="E113" s="19"/>
      <c r="F113" s="20"/>
      <c r="G113" s="12" t="str">
        <f aca="false">IF($A113="","",MONTH($A113))</f>
        <v/>
      </c>
    </row>
    <row r="114" customFormat="false" ht="15" hidden="false" customHeight="false" outlineLevel="0" collapsed="false">
      <c r="A114" s="18"/>
      <c r="B114" s="19"/>
      <c r="C114" s="19"/>
      <c r="D114" s="19"/>
      <c r="E114" s="19"/>
      <c r="F114" s="20"/>
      <c r="G114" s="12" t="str">
        <f aca="false">IF($A114="","",MONTH($A114))</f>
        <v/>
      </c>
    </row>
    <row r="115" customFormat="false" ht="15" hidden="false" customHeight="false" outlineLevel="0" collapsed="false">
      <c r="A115" s="18"/>
      <c r="B115" s="19"/>
      <c r="C115" s="19"/>
      <c r="D115" s="19"/>
      <c r="E115" s="19"/>
      <c r="F115" s="20"/>
      <c r="G115" s="12" t="str">
        <f aca="false">IF($A115="","",MONTH($A115))</f>
        <v/>
      </c>
    </row>
    <row r="116" customFormat="false" ht="15" hidden="false" customHeight="false" outlineLevel="0" collapsed="false">
      <c r="A116" s="18"/>
      <c r="B116" s="19"/>
      <c r="C116" s="19"/>
      <c r="D116" s="19"/>
      <c r="E116" s="19"/>
      <c r="F116" s="20"/>
      <c r="G116" s="12" t="str">
        <f aca="false">IF($A116="","",MONTH($A116))</f>
        <v/>
      </c>
    </row>
    <row r="117" customFormat="false" ht="15" hidden="false" customHeight="false" outlineLevel="0" collapsed="false">
      <c r="A117" s="18"/>
      <c r="B117" s="19"/>
      <c r="C117" s="19"/>
      <c r="D117" s="19"/>
      <c r="E117" s="19"/>
      <c r="F117" s="20"/>
      <c r="G117" s="12" t="str">
        <f aca="false">IF($A117="","",MONTH($A117))</f>
        <v/>
      </c>
    </row>
    <row r="118" customFormat="false" ht="15" hidden="false" customHeight="false" outlineLevel="0" collapsed="false">
      <c r="A118" s="18"/>
      <c r="B118" s="19"/>
      <c r="C118" s="19"/>
      <c r="D118" s="19"/>
      <c r="E118" s="19"/>
      <c r="F118" s="20"/>
      <c r="G118" s="12" t="str">
        <f aca="false">IF($A118="","",MONTH($A118))</f>
        <v/>
      </c>
    </row>
    <row r="119" customFormat="false" ht="15" hidden="false" customHeight="false" outlineLevel="0" collapsed="false">
      <c r="A119" s="18"/>
      <c r="B119" s="19"/>
      <c r="C119" s="19"/>
      <c r="D119" s="19"/>
      <c r="E119" s="19"/>
      <c r="F119" s="20"/>
      <c r="G119" s="12" t="str">
        <f aca="false">IF($A119="","",MONTH($A119))</f>
        <v/>
      </c>
    </row>
    <row r="120" customFormat="false" ht="15" hidden="false" customHeight="false" outlineLevel="0" collapsed="false">
      <c r="A120" s="18"/>
      <c r="B120" s="19"/>
      <c r="C120" s="19"/>
      <c r="D120" s="19"/>
      <c r="E120" s="19"/>
      <c r="F120" s="20"/>
      <c r="G120" s="12" t="str">
        <f aca="false">IF($A120="","",MONTH($A120))</f>
        <v/>
      </c>
    </row>
    <row r="121" customFormat="false" ht="15" hidden="false" customHeight="false" outlineLevel="0" collapsed="false">
      <c r="A121" s="18"/>
      <c r="B121" s="19"/>
      <c r="C121" s="19"/>
      <c r="D121" s="19"/>
      <c r="E121" s="19"/>
      <c r="F121" s="20"/>
      <c r="G121" s="12" t="str">
        <f aca="false">IF($A121="","",MONTH($A121))</f>
        <v/>
      </c>
    </row>
    <row r="122" customFormat="false" ht="15" hidden="false" customHeight="false" outlineLevel="0" collapsed="false">
      <c r="A122" s="18"/>
      <c r="B122" s="19"/>
      <c r="C122" s="19"/>
      <c r="D122" s="19"/>
      <c r="E122" s="19"/>
      <c r="F122" s="20"/>
      <c r="G122" s="12" t="str">
        <f aca="false">IF($A122="","",MONTH($A122))</f>
        <v/>
      </c>
    </row>
    <row r="123" customFormat="false" ht="15" hidden="false" customHeight="false" outlineLevel="0" collapsed="false">
      <c r="A123" s="18"/>
      <c r="B123" s="19"/>
      <c r="C123" s="19"/>
      <c r="D123" s="19"/>
      <c r="E123" s="19"/>
      <c r="F123" s="20"/>
      <c r="G123" s="12" t="str">
        <f aca="false">IF($A123="","",MONTH($A123))</f>
        <v/>
      </c>
    </row>
    <row r="124" customFormat="false" ht="15" hidden="false" customHeight="false" outlineLevel="0" collapsed="false">
      <c r="A124" s="18"/>
      <c r="B124" s="19"/>
      <c r="C124" s="19"/>
      <c r="D124" s="19"/>
      <c r="E124" s="19"/>
      <c r="F124" s="20"/>
      <c r="G124" s="12" t="str">
        <f aca="false">IF($A124="","",MONTH($A124))</f>
        <v/>
      </c>
    </row>
    <row r="125" customFormat="false" ht="15" hidden="false" customHeight="false" outlineLevel="0" collapsed="false">
      <c r="A125" s="18"/>
      <c r="B125" s="19"/>
      <c r="C125" s="19"/>
      <c r="D125" s="19"/>
      <c r="E125" s="19"/>
      <c r="F125" s="20"/>
      <c r="G125" s="12" t="str">
        <f aca="false">IF($A125="","",MONTH($A125))</f>
        <v/>
      </c>
    </row>
    <row r="126" customFormat="false" ht="15" hidden="false" customHeight="false" outlineLevel="0" collapsed="false">
      <c r="A126" s="18"/>
      <c r="B126" s="19"/>
      <c r="C126" s="19"/>
      <c r="D126" s="19"/>
      <c r="E126" s="19"/>
      <c r="F126" s="20"/>
      <c r="G126" s="12" t="str">
        <f aca="false">IF($A126="","",MONTH($A126))</f>
        <v/>
      </c>
    </row>
    <row r="127" customFormat="false" ht="15" hidden="false" customHeight="false" outlineLevel="0" collapsed="false">
      <c r="A127" s="18"/>
      <c r="B127" s="19"/>
      <c r="C127" s="19"/>
      <c r="D127" s="19"/>
      <c r="E127" s="19"/>
      <c r="F127" s="20"/>
      <c r="G127" s="12" t="str">
        <f aca="false">IF($A127="","",MONTH($A127))</f>
        <v/>
      </c>
    </row>
    <row r="128" customFormat="false" ht="15" hidden="false" customHeight="false" outlineLevel="0" collapsed="false">
      <c r="A128" s="18"/>
      <c r="B128" s="19"/>
      <c r="C128" s="19"/>
      <c r="D128" s="19"/>
      <c r="E128" s="19"/>
      <c r="F128" s="20"/>
      <c r="G128" s="12" t="str">
        <f aca="false">IF($A128="","",MONTH($A128))</f>
        <v/>
      </c>
    </row>
    <row r="129" customFormat="false" ht="15" hidden="false" customHeight="false" outlineLevel="0" collapsed="false">
      <c r="A129" s="18"/>
      <c r="B129" s="19"/>
      <c r="C129" s="19"/>
      <c r="D129" s="19"/>
      <c r="E129" s="19"/>
      <c r="F129" s="20"/>
      <c r="G129" s="12" t="str">
        <f aca="false">IF($A129="","",MONTH($A129))</f>
        <v/>
      </c>
    </row>
    <row r="130" customFormat="false" ht="15" hidden="false" customHeight="false" outlineLevel="0" collapsed="false">
      <c r="A130" s="18"/>
      <c r="B130" s="19"/>
      <c r="C130" s="19"/>
      <c r="D130" s="19"/>
      <c r="E130" s="19"/>
      <c r="F130" s="20"/>
      <c r="G130" s="12" t="str">
        <f aca="false">IF($A130="","",MONTH($A130))</f>
        <v/>
      </c>
    </row>
    <row r="131" customFormat="false" ht="15" hidden="false" customHeight="false" outlineLevel="0" collapsed="false">
      <c r="A131" s="18"/>
      <c r="B131" s="19"/>
      <c r="C131" s="19"/>
      <c r="D131" s="19"/>
      <c r="E131" s="19"/>
      <c r="F131" s="20"/>
      <c r="G131" s="12" t="str">
        <f aca="false">IF($A131="","",MONTH($A131))</f>
        <v/>
      </c>
    </row>
    <row r="132" customFormat="false" ht="15" hidden="false" customHeight="false" outlineLevel="0" collapsed="false">
      <c r="A132" s="18"/>
      <c r="B132" s="19"/>
      <c r="C132" s="19"/>
      <c r="D132" s="19"/>
      <c r="E132" s="19"/>
      <c r="F132" s="20"/>
      <c r="G132" s="12" t="str">
        <f aca="false">IF($A132="","",MONTH($A132))</f>
        <v/>
      </c>
    </row>
    <row r="133" customFormat="false" ht="15" hidden="false" customHeight="false" outlineLevel="0" collapsed="false">
      <c r="A133" s="18"/>
      <c r="B133" s="19"/>
      <c r="C133" s="19"/>
      <c r="D133" s="19"/>
      <c r="E133" s="19"/>
      <c r="F133" s="20"/>
      <c r="G133" s="12" t="str">
        <f aca="false">IF($A133="","",MONTH($A133))</f>
        <v/>
      </c>
    </row>
    <row r="134" customFormat="false" ht="15" hidden="false" customHeight="false" outlineLevel="0" collapsed="false">
      <c r="A134" s="18"/>
      <c r="B134" s="19"/>
      <c r="C134" s="19"/>
      <c r="D134" s="19"/>
      <c r="E134" s="19"/>
      <c r="F134" s="20"/>
      <c r="G134" s="12" t="str">
        <f aca="false">IF($A134="","",MONTH($A134))</f>
        <v/>
      </c>
    </row>
    <row r="135" customFormat="false" ht="15" hidden="false" customHeight="false" outlineLevel="0" collapsed="false">
      <c r="A135" s="18"/>
      <c r="B135" s="19"/>
      <c r="C135" s="19"/>
      <c r="D135" s="19"/>
      <c r="E135" s="19"/>
      <c r="F135" s="20"/>
      <c r="G135" s="12" t="str">
        <f aca="false">IF($A135="","",MONTH($A135))</f>
        <v/>
      </c>
    </row>
    <row r="136" customFormat="false" ht="15" hidden="false" customHeight="false" outlineLevel="0" collapsed="false">
      <c r="A136" s="18"/>
      <c r="B136" s="19"/>
      <c r="C136" s="19"/>
      <c r="D136" s="19"/>
      <c r="E136" s="19"/>
      <c r="F136" s="20"/>
      <c r="G136" s="12" t="str">
        <f aca="false">IF($A136="","",MONTH($A136))</f>
        <v/>
      </c>
    </row>
    <row r="137" customFormat="false" ht="15" hidden="false" customHeight="false" outlineLevel="0" collapsed="false">
      <c r="A137" s="18"/>
      <c r="B137" s="19"/>
      <c r="C137" s="19"/>
      <c r="D137" s="19"/>
      <c r="E137" s="19"/>
      <c r="F137" s="20"/>
      <c r="G137" s="12" t="str">
        <f aca="false">IF($A137="","",MONTH($A137))</f>
        <v/>
      </c>
    </row>
    <row r="138" customFormat="false" ht="15" hidden="false" customHeight="false" outlineLevel="0" collapsed="false">
      <c r="A138" s="18"/>
      <c r="B138" s="19"/>
      <c r="C138" s="19"/>
      <c r="D138" s="19"/>
      <c r="E138" s="19"/>
      <c r="F138" s="20"/>
      <c r="G138" s="12" t="str">
        <f aca="false">IF($A138="","",MONTH($A138))</f>
        <v/>
      </c>
    </row>
    <row r="139" customFormat="false" ht="15" hidden="false" customHeight="false" outlineLevel="0" collapsed="false">
      <c r="A139" s="18"/>
      <c r="B139" s="19"/>
      <c r="C139" s="19"/>
      <c r="D139" s="19"/>
      <c r="E139" s="19"/>
      <c r="F139" s="20"/>
      <c r="G139" s="12" t="str">
        <f aca="false">IF($A139="","",MONTH($A139))</f>
        <v/>
      </c>
    </row>
    <row r="140" customFormat="false" ht="15" hidden="false" customHeight="false" outlineLevel="0" collapsed="false">
      <c r="A140" s="18"/>
      <c r="B140" s="19"/>
      <c r="C140" s="19"/>
      <c r="D140" s="19"/>
      <c r="E140" s="19"/>
      <c r="F140" s="20"/>
      <c r="G140" s="12" t="str">
        <f aca="false">IF($A140="","",MONTH($A140))</f>
        <v/>
      </c>
    </row>
    <row r="141" customFormat="false" ht="15" hidden="false" customHeight="false" outlineLevel="0" collapsed="false">
      <c r="A141" s="18"/>
      <c r="B141" s="19"/>
      <c r="C141" s="19"/>
      <c r="D141" s="19"/>
      <c r="E141" s="19"/>
      <c r="F141" s="20"/>
      <c r="G141" s="12" t="str">
        <f aca="false">IF($A141="","",MONTH($A141))</f>
        <v/>
      </c>
    </row>
    <row r="142" customFormat="false" ht="15" hidden="false" customHeight="false" outlineLevel="0" collapsed="false">
      <c r="A142" s="18"/>
      <c r="B142" s="19"/>
      <c r="C142" s="19"/>
      <c r="D142" s="19"/>
      <c r="E142" s="19"/>
      <c r="F142" s="20"/>
      <c r="G142" s="12" t="str">
        <f aca="false">IF($A142="","",MONTH($A142))</f>
        <v/>
      </c>
    </row>
    <row r="143" customFormat="false" ht="15" hidden="false" customHeight="false" outlineLevel="0" collapsed="false">
      <c r="A143" s="18"/>
      <c r="B143" s="19"/>
      <c r="C143" s="19"/>
      <c r="D143" s="19"/>
      <c r="E143" s="19"/>
      <c r="F143" s="20"/>
      <c r="G143" s="12" t="str">
        <f aca="false">IF($A143="","",MONTH($A143))</f>
        <v/>
      </c>
    </row>
    <row r="144" customFormat="false" ht="15" hidden="false" customHeight="false" outlineLevel="0" collapsed="false">
      <c r="A144" s="18"/>
      <c r="B144" s="19"/>
      <c r="C144" s="19"/>
      <c r="D144" s="19"/>
      <c r="E144" s="19"/>
      <c r="F144" s="20"/>
      <c r="G144" s="12" t="str">
        <f aca="false">IF($A144="","",MONTH($A144))</f>
        <v/>
      </c>
    </row>
    <row r="145" customFormat="false" ht="15" hidden="false" customHeight="false" outlineLevel="0" collapsed="false">
      <c r="A145" s="18"/>
      <c r="B145" s="19"/>
      <c r="C145" s="19"/>
      <c r="D145" s="19"/>
      <c r="E145" s="19"/>
      <c r="F145" s="20"/>
      <c r="G145" s="12" t="str">
        <f aca="false">IF($A145="","",MONTH($A145))</f>
        <v/>
      </c>
    </row>
    <row r="146" customFormat="false" ht="15" hidden="false" customHeight="false" outlineLevel="0" collapsed="false">
      <c r="A146" s="18"/>
      <c r="B146" s="19"/>
      <c r="C146" s="19"/>
      <c r="D146" s="19"/>
      <c r="E146" s="19"/>
      <c r="F146" s="20"/>
      <c r="G146" s="12" t="str">
        <f aca="false">IF($A146="","",MONTH($A146))</f>
        <v/>
      </c>
    </row>
    <row r="147" customFormat="false" ht="15" hidden="false" customHeight="false" outlineLevel="0" collapsed="false">
      <c r="A147" s="18"/>
      <c r="B147" s="19"/>
      <c r="C147" s="19"/>
      <c r="D147" s="19"/>
      <c r="E147" s="19"/>
      <c r="F147" s="20"/>
      <c r="G147" s="12" t="str">
        <f aca="false">IF($A147="","",MONTH($A147))</f>
        <v/>
      </c>
    </row>
    <row r="148" customFormat="false" ht="15" hidden="false" customHeight="false" outlineLevel="0" collapsed="false">
      <c r="A148" s="18"/>
      <c r="B148" s="19"/>
      <c r="C148" s="19"/>
      <c r="D148" s="19"/>
      <c r="E148" s="19"/>
      <c r="F148" s="20"/>
      <c r="G148" s="12" t="str">
        <f aca="false">IF($A148="","",MONTH($A148))</f>
        <v/>
      </c>
    </row>
    <row r="149" customFormat="false" ht="15" hidden="false" customHeight="false" outlineLevel="0" collapsed="false">
      <c r="A149" s="18"/>
      <c r="B149" s="19"/>
      <c r="C149" s="19"/>
      <c r="D149" s="19"/>
      <c r="E149" s="19"/>
      <c r="F149" s="20"/>
      <c r="G149" s="12" t="str">
        <f aca="false">IF($A149="","",MONTH($A149))</f>
        <v/>
      </c>
    </row>
    <row r="150" customFormat="false" ht="15" hidden="false" customHeight="false" outlineLevel="0" collapsed="false">
      <c r="A150" s="18"/>
      <c r="B150" s="19"/>
      <c r="C150" s="19"/>
      <c r="D150" s="19"/>
      <c r="E150" s="19"/>
      <c r="F150" s="20"/>
      <c r="G150" s="12" t="str">
        <f aca="false">IF($A150="","",MONTH($A150))</f>
        <v/>
      </c>
    </row>
    <row r="151" customFormat="false" ht="15" hidden="false" customHeight="false" outlineLevel="0" collapsed="false">
      <c r="A151" s="18"/>
      <c r="B151" s="19"/>
      <c r="C151" s="19"/>
      <c r="D151" s="19"/>
      <c r="E151" s="19"/>
      <c r="F151" s="20"/>
      <c r="G151" s="12" t="str">
        <f aca="false">IF($A151="","",MONTH($A151))</f>
        <v/>
      </c>
    </row>
    <row r="152" customFormat="false" ht="15" hidden="false" customHeight="false" outlineLevel="0" collapsed="false">
      <c r="A152" s="18"/>
      <c r="B152" s="19"/>
      <c r="C152" s="19"/>
      <c r="D152" s="19"/>
      <c r="E152" s="19"/>
      <c r="F152" s="20"/>
      <c r="G152" s="12" t="str">
        <f aca="false">IF($A152="","",MONTH($A152))</f>
        <v/>
      </c>
    </row>
    <row r="153" customFormat="false" ht="15" hidden="false" customHeight="false" outlineLevel="0" collapsed="false">
      <c r="A153" s="18"/>
      <c r="B153" s="19"/>
      <c r="C153" s="19"/>
      <c r="D153" s="19"/>
      <c r="E153" s="19"/>
      <c r="F153" s="20"/>
      <c r="G153" s="12" t="str">
        <f aca="false">IF($A153="","",MONTH($A153))</f>
        <v/>
      </c>
    </row>
    <row r="154" customFormat="false" ht="15" hidden="false" customHeight="false" outlineLevel="0" collapsed="false">
      <c r="A154" s="18"/>
      <c r="B154" s="19"/>
      <c r="C154" s="19"/>
      <c r="D154" s="19"/>
      <c r="E154" s="19"/>
      <c r="F154" s="20"/>
      <c r="G154" s="12" t="str">
        <f aca="false">IF($A154="","",MONTH($A154))</f>
        <v/>
      </c>
    </row>
    <row r="155" customFormat="false" ht="15" hidden="false" customHeight="false" outlineLevel="0" collapsed="false">
      <c r="A155" s="18"/>
      <c r="B155" s="19"/>
      <c r="C155" s="19"/>
      <c r="D155" s="19"/>
      <c r="E155" s="19"/>
      <c r="F155" s="20"/>
      <c r="G155" s="12" t="str">
        <f aca="false">IF($A155="","",MONTH($A155))</f>
        <v/>
      </c>
    </row>
    <row r="156" customFormat="false" ht="15" hidden="false" customHeight="false" outlineLevel="0" collapsed="false">
      <c r="A156" s="18"/>
      <c r="B156" s="19"/>
      <c r="C156" s="19"/>
      <c r="D156" s="19"/>
      <c r="E156" s="19"/>
      <c r="F156" s="20"/>
      <c r="G156" s="12" t="str">
        <f aca="false">IF($A156="","",MONTH($A156))</f>
        <v/>
      </c>
    </row>
    <row r="157" customFormat="false" ht="15" hidden="false" customHeight="false" outlineLevel="0" collapsed="false">
      <c r="A157" s="18"/>
      <c r="B157" s="19"/>
      <c r="C157" s="19"/>
      <c r="D157" s="19"/>
      <c r="E157" s="19"/>
      <c r="F157" s="20"/>
      <c r="G157" s="12" t="str">
        <f aca="false">IF($A157="","",MONTH($A157))</f>
        <v/>
      </c>
    </row>
    <row r="158" customFormat="false" ht="15" hidden="false" customHeight="false" outlineLevel="0" collapsed="false">
      <c r="A158" s="18"/>
      <c r="B158" s="19"/>
      <c r="C158" s="19"/>
      <c r="D158" s="19"/>
      <c r="E158" s="19"/>
      <c r="F158" s="20"/>
      <c r="G158" s="12" t="str">
        <f aca="false">IF($A158="","",MONTH($A158))</f>
        <v/>
      </c>
    </row>
    <row r="159" customFormat="false" ht="15" hidden="false" customHeight="false" outlineLevel="0" collapsed="false">
      <c r="A159" s="18"/>
      <c r="B159" s="19"/>
      <c r="C159" s="19"/>
      <c r="D159" s="19"/>
      <c r="E159" s="19"/>
      <c r="F159" s="20"/>
      <c r="G159" s="12" t="str">
        <f aca="false">IF($A159="","",MONTH($A159))</f>
        <v/>
      </c>
    </row>
    <row r="160" customFormat="false" ht="15" hidden="false" customHeight="false" outlineLevel="0" collapsed="false">
      <c r="A160" s="18"/>
      <c r="B160" s="19"/>
      <c r="C160" s="19"/>
      <c r="D160" s="19"/>
      <c r="E160" s="19"/>
      <c r="F160" s="20"/>
      <c r="G160" s="12" t="str">
        <f aca="false">IF($A160="","",MONTH($A160))</f>
        <v/>
      </c>
    </row>
    <row r="161" customFormat="false" ht="15" hidden="false" customHeight="false" outlineLevel="0" collapsed="false">
      <c r="A161" s="18"/>
      <c r="B161" s="19"/>
      <c r="C161" s="19"/>
      <c r="D161" s="19"/>
      <c r="E161" s="19"/>
      <c r="F161" s="20"/>
      <c r="G161" s="12" t="str">
        <f aca="false">IF($A161="","",MONTH($A161))</f>
        <v/>
      </c>
    </row>
    <row r="162" customFormat="false" ht="15" hidden="false" customHeight="false" outlineLevel="0" collapsed="false">
      <c r="A162" s="18"/>
      <c r="B162" s="19"/>
      <c r="C162" s="19"/>
      <c r="D162" s="19"/>
      <c r="E162" s="19"/>
      <c r="F162" s="20"/>
      <c r="G162" s="12" t="str">
        <f aca="false">IF($A162="","",MONTH($A162))</f>
        <v/>
      </c>
    </row>
    <row r="163" customFormat="false" ht="15" hidden="false" customHeight="false" outlineLevel="0" collapsed="false">
      <c r="A163" s="18"/>
      <c r="B163" s="19"/>
      <c r="C163" s="19"/>
      <c r="D163" s="19"/>
      <c r="E163" s="19"/>
      <c r="F163" s="20"/>
      <c r="G163" s="12" t="str">
        <f aca="false">IF($A163="","",MONTH($A163))</f>
        <v/>
      </c>
    </row>
    <row r="164" customFormat="false" ht="15" hidden="false" customHeight="false" outlineLevel="0" collapsed="false">
      <c r="A164" s="18"/>
      <c r="B164" s="19"/>
      <c r="C164" s="19"/>
      <c r="D164" s="19"/>
      <c r="E164" s="19"/>
      <c r="F164" s="20"/>
      <c r="G164" s="12" t="str">
        <f aca="false">IF($A164="","",MONTH($A164))</f>
        <v/>
      </c>
    </row>
    <row r="165" customFormat="false" ht="15" hidden="false" customHeight="false" outlineLevel="0" collapsed="false">
      <c r="A165" s="18"/>
      <c r="B165" s="19"/>
      <c r="C165" s="19"/>
      <c r="D165" s="19"/>
      <c r="E165" s="19"/>
      <c r="F165" s="20"/>
      <c r="G165" s="12" t="str">
        <f aca="false">IF($A165="","",MONTH($A165))</f>
        <v/>
      </c>
    </row>
    <row r="166" customFormat="false" ht="15" hidden="false" customHeight="false" outlineLevel="0" collapsed="false">
      <c r="A166" s="18"/>
      <c r="B166" s="19"/>
      <c r="C166" s="19"/>
      <c r="D166" s="19"/>
      <c r="E166" s="19"/>
      <c r="F166" s="20"/>
      <c r="G166" s="12" t="str">
        <f aca="false">IF($A166="","",MONTH($A166))</f>
        <v/>
      </c>
    </row>
    <row r="167" customFormat="false" ht="15" hidden="false" customHeight="false" outlineLevel="0" collapsed="false">
      <c r="A167" s="18"/>
      <c r="B167" s="19"/>
      <c r="C167" s="19"/>
      <c r="D167" s="19"/>
      <c r="E167" s="19"/>
      <c r="F167" s="20"/>
      <c r="G167" s="12" t="str">
        <f aca="false">IF($A167="","",MONTH($A167))</f>
        <v/>
      </c>
    </row>
    <row r="168" customFormat="false" ht="15" hidden="false" customHeight="false" outlineLevel="0" collapsed="false">
      <c r="A168" s="18"/>
      <c r="B168" s="19"/>
      <c r="C168" s="19"/>
      <c r="D168" s="19"/>
      <c r="E168" s="19"/>
      <c r="F168" s="20"/>
      <c r="G168" s="12" t="str">
        <f aca="false">IF($A168="","",MONTH($A168))</f>
        <v/>
      </c>
    </row>
    <row r="169" customFormat="false" ht="15" hidden="false" customHeight="false" outlineLevel="0" collapsed="false">
      <c r="A169" s="18"/>
      <c r="B169" s="19"/>
      <c r="C169" s="19"/>
      <c r="D169" s="19"/>
      <c r="E169" s="19"/>
      <c r="F169" s="20"/>
      <c r="G169" s="12" t="str">
        <f aca="false">IF($A169="","",MONTH($A169))</f>
        <v/>
      </c>
    </row>
    <row r="170" customFormat="false" ht="15" hidden="false" customHeight="false" outlineLevel="0" collapsed="false">
      <c r="A170" s="18"/>
      <c r="B170" s="19"/>
      <c r="C170" s="19"/>
      <c r="D170" s="19"/>
      <c r="E170" s="19"/>
      <c r="F170" s="20"/>
      <c r="G170" s="12" t="str">
        <f aca="false">IF($A170="","",MONTH($A170))</f>
        <v/>
      </c>
    </row>
    <row r="171" customFormat="false" ht="15" hidden="false" customHeight="false" outlineLevel="0" collapsed="false">
      <c r="A171" s="18"/>
      <c r="B171" s="19"/>
      <c r="C171" s="19"/>
      <c r="D171" s="19"/>
      <c r="E171" s="19"/>
      <c r="F171" s="20"/>
      <c r="G171" s="12" t="str">
        <f aca="false">IF($A171="","",MONTH($A171))</f>
        <v/>
      </c>
    </row>
    <row r="172" customFormat="false" ht="15" hidden="false" customHeight="false" outlineLevel="0" collapsed="false">
      <c r="A172" s="18"/>
      <c r="B172" s="19"/>
      <c r="C172" s="19"/>
      <c r="D172" s="19"/>
      <c r="E172" s="19"/>
      <c r="F172" s="20"/>
      <c r="G172" s="12" t="str">
        <f aca="false">IF($A172="","",MONTH($A172))</f>
        <v/>
      </c>
    </row>
    <row r="173" customFormat="false" ht="15" hidden="false" customHeight="false" outlineLevel="0" collapsed="false">
      <c r="A173" s="18"/>
      <c r="B173" s="19"/>
      <c r="C173" s="19"/>
      <c r="D173" s="19"/>
      <c r="E173" s="19"/>
      <c r="F173" s="20"/>
      <c r="G173" s="12" t="str">
        <f aca="false">IF($A173="","",MONTH($A173))</f>
        <v/>
      </c>
    </row>
    <row r="174" customFormat="false" ht="15" hidden="false" customHeight="false" outlineLevel="0" collapsed="false">
      <c r="A174" s="18"/>
      <c r="B174" s="19"/>
      <c r="C174" s="19"/>
      <c r="D174" s="19"/>
      <c r="E174" s="19"/>
      <c r="F174" s="20"/>
      <c r="G174" s="12" t="str">
        <f aca="false">IF($A174="","",MONTH($A174))</f>
        <v/>
      </c>
    </row>
    <row r="175" customFormat="false" ht="15" hidden="false" customHeight="false" outlineLevel="0" collapsed="false">
      <c r="A175" s="18"/>
      <c r="B175" s="19"/>
      <c r="C175" s="19"/>
      <c r="D175" s="19"/>
      <c r="E175" s="19"/>
      <c r="F175" s="20"/>
      <c r="G175" s="12" t="str">
        <f aca="false">IF($A175="","",MONTH($A175))</f>
        <v/>
      </c>
    </row>
    <row r="176" customFormat="false" ht="15" hidden="false" customHeight="false" outlineLevel="0" collapsed="false">
      <c r="A176" s="18"/>
      <c r="B176" s="19"/>
      <c r="C176" s="19"/>
      <c r="D176" s="19"/>
      <c r="E176" s="19"/>
      <c r="F176" s="20"/>
      <c r="G176" s="12" t="str">
        <f aca="false">IF($A176="","",MONTH($A176))</f>
        <v/>
      </c>
    </row>
    <row r="177" customFormat="false" ht="15" hidden="false" customHeight="false" outlineLevel="0" collapsed="false">
      <c r="A177" s="18"/>
      <c r="B177" s="19"/>
      <c r="C177" s="19"/>
      <c r="D177" s="19"/>
      <c r="E177" s="19"/>
      <c r="F177" s="20"/>
      <c r="G177" s="12" t="str">
        <f aca="false">IF($A177="","",MONTH($A177))</f>
        <v/>
      </c>
    </row>
    <row r="178" customFormat="false" ht="15" hidden="false" customHeight="false" outlineLevel="0" collapsed="false">
      <c r="A178" s="18"/>
      <c r="B178" s="19"/>
      <c r="C178" s="19"/>
      <c r="D178" s="19"/>
      <c r="E178" s="19"/>
      <c r="F178" s="20"/>
      <c r="G178" s="12" t="str">
        <f aca="false">IF($A178="","",MONTH($A178))</f>
        <v/>
      </c>
    </row>
    <row r="179" customFormat="false" ht="15" hidden="false" customHeight="false" outlineLevel="0" collapsed="false">
      <c r="A179" s="18"/>
      <c r="B179" s="19"/>
      <c r="C179" s="19"/>
      <c r="D179" s="19"/>
      <c r="E179" s="19"/>
      <c r="F179" s="20"/>
      <c r="G179" s="12" t="str">
        <f aca="false">IF($A179="","",MONTH($A179))</f>
        <v/>
      </c>
    </row>
    <row r="180" customFormat="false" ht="15" hidden="false" customHeight="false" outlineLevel="0" collapsed="false">
      <c r="A180" s="18"/>
      <c r="B180" s="19"/>
      <c r="C180" s="19"/>
      <c r="D180" s="19"/>
      <c r="E180" s="19"/>
      <c r="F180" s="20"/>
      <c r="G180" s="12" t="str">
        <f aca="false">IF($A180="","",MONTH($A180))</f>
        <v/>
      </c>
    </row>
    <row r="181" customFormat="false" ht="15" hidden="false" customHeight="false" outlineLevel="0" collapsed="false">
      <c r="A181" s="18"/>
      <c r="B181" s="19"/>
      <c r="C181" s="19"/>
      <c r="D181" s="19"/>
      <c r="E181" s="19"/>
      <c r="F181" s="20"/>
      <c r="G181" s="12" t="str">
        <f aca="false">IF($A181="","",MONTH($A181))</f>
        <v/>
      </c>
    </row>
    <row r="182" customFormat="false" ht="15" hidden="false" customHeight="false" outlineLevel="0" collapsed="false">
      <c r="A182" s="18"/>
      <c r="B182" s="19"/>
      <c r="C182" s="19"/>
      <c r="D182" s="19"/>
      <c r="E182" s="19"/>
      <c r="F182" s="20"/>
      <c r="G182" s="12" t="str">
        <f aca="false">IF($A182="","",MONTH($A182))</f>
        <v/>
      </c>
    </row>
    <row r="183" customFormat="false" ht="15" hidden="false" customHeight="false" outlineLevel="0" collapsed="false">
      <c r="A183" s="18"/>
      <c r="B183" s="19"/>
      <c r="C183" s="19"/>
      <c r="D183" s="19"/>
      <c r="E183" s="19"/>
      <c r="F183" s="20"/>
      <c r="G183" s="12" t="str">
        <f aca="false">IF($A183="","",MONTH($A183))</f>
        <v/>
      </c>
    </row>
    <row r="184" customFormat="false" ht="15" hidden="false" customHeight="false" outlineLevel="0" collapsed="false">
      <c r="A184" s="18"/>
      <c r="B184" s="19"/>
      <c r="C184" s="19"/>
      <c r="D184" s="19"/>
      <c r="E184" s="19"/>
      <c r="F184" s="20"/>
      <c r="G184" s="12" t="str">
        <f aca="false">IF($A184="","",MONTH($A184))</f>
        <v/>
      </c>
    </row>
    <row r="185" customFormat="false" ht="15" hidden="false" customHeight="false" outlineLevel="0" collapsed="false">
      <c r="A185" s="18"/>
      <c r="B185" s="19"/>
      <c r="C185" s="19"/>
      <c r="D185" s="19"/>
      <c r="E185" s="19"/>
      <c r="F185" s="20"/>
      <c r="G185" s="12" t="str">
        <f aca="false">IF($A185="","",MONTH($A185))</f>
        <v/>
      </c>
    </row>
    <row r="186" customFormat="false" ht="15" hidden="false" customHeight="false" outlineLevel="0" collapsed="false">
      <c r="A186" s="18"/>
      <c r="B186" s="19"/>
      <c r="C186" s="19"/>
      <c r="D186" s="19"/>
      <c r="E186" s="19"/>
      <c r="F186" s="20"/>
      <c r="G186" s="12" t="str">
        <f aca="false">IF($A186="","",MONTH($A186))</f>
        <v/>
      </c>
    </row>
    <row r="187" customFormat="false" ht="15" hidden="false" customHeight="false" outlineLevel="0" collapsed="false">
      <c r="A187" s="18"/>
      <c r="B187" s="19"/>
      <c r="C187" s="19"/>
      <c r="D187" s="19"/>
      <c r="E187" s="19"/>
      <c r="F187" s="20"/>
      <c r="G187" s="12" t="str">
        <f aca="false">IF($A187="","",MONTH($A187))</f>
        <v/>
      </c>
    </row>
    <row r="188" customFormat="false" ht="15" hidden="false" customHeight="false" outlineLevel="0" collapsed="false">
      <c r="A188" s="18"/>
      <c r="B188" s="19"/>
      <c r="C188" s="19"/>
      <c r="D188" s="19"/>
      <c r="E188" s="19"/>
      <c r="F188" s="20"/>
      <c r="G188" s="12" t="str">
        <f aca="false">IF($A188="","",MONTH($A188))</f>
        <v/>
      </c>
    </row>
    <row r="189" customFormat="false" ht="15" hidden="false" customHeight="false" outlineLevel="0" collapsed="false">
      <c r="A189" s="18"/>
      <c r="B189" s="19"/>
      <c r="C189" s="19"/>
      <c r="D189" s="19"/>
      <c r="E189" s="19"/>
      <c r="F189" s="20"/>
      <c r="G189" s="12" t="str">
        <f aca="false">IF($A189="","",MONTH($A189))</f>
        <v/>
      </c>
    </row>
    <row r="190" customFormat="false" ht="15" hidden="false" customHeight="false" outlineLevel="0" collapsed="false">
      <c r="A190" s="18"/>
      <c r="B190" s="19"/>
      <c r="C190" s="19"/>
      <c r="D190" s="19"/>
      <c r="E190" s="19"/>
      <c r="F190" s="20"/>
      <c r="G190" s="12" t="str">
        <f aca="false">IF($A190="","",MONTH($A190))</f>
        <v/>
      </c>
    </row>
    <row r="191" customFormat="false" ht="15" hidden="false" customHeight="false" outlineLevel="0" collapsed="false">
      <c r="A191" s="18"/>
      <c r="B191" s="19"/>
      <c r="C191" s="19"/>
      <c r="D191" s="19"/>
      <c r="E191" s="19"/>
      <c r="F191" s="20"/>
      <c r="G191" s="12" t="str">
        <f aca="false">IF($A191="","",MONTH($A191))</f>
        <v/>
      </c>
    </row>
    <row r="192" customFormat="false" ht="15" hidden="false" customHeight="false" outlineLevel="0" collapsed="false">
      <c r="A192" s="18"/>
      <c r="B192" s="19"/>
      <c r="C192" s="19"/>
      <c r="D192" s="19"/>
      <c r="E192" s="19"/>
      <c r="F192" s="20"/>
      <c r="G192" s="12" t="str">
        <f aca="false">IF($A192="","",MONTH($A192))</f>
        <v/>
      </c>
    </row>
    <row r="193" customFormat="false" ht="15" hidden="false" customHeight="false" outlineLevel="0" collapsed="false">
      <c r="A193" s="18"/>
      <c r="B193" s="19"/>
      <c r="C193" s="19"/>
      <c r="D193" s="19"/>
      <c r="E193" s="19"/>
      <c r="F193" s="20"/>
      <c r="G193" s="12" t="str">
        <f aca="false">IF($A193="","",MONTH($A193))</f>
        <v/>
      </c>
    </row>
    <row r="194" customFormat="false" ht="15" hidden="false" customHeight="false" outlineLevel="0" collapsed="false">
      <c r="A194" s="18"/>
      <c r="B194" s="19"/>
      <c r="C194" s="19"/>
      <c r="D194" s="19"/>
      <c r="E194" s="19"/>
      <c r="F194" s="20"/>
      <c r="G194" s="12" t="str">
        <f aca="false">IF($A194="","",MONTH($A194))</f>
        <v/>
      </c>
    </row>
    <row r="195" customFormat="false" ht="15" hidden="false" customHeight="false" outlineLevel="0" collapsed="false">
      <c r="A195" s="18"/>
      <c r="B195" s="19"/>
      <c r="C195" s="19"/>
      <c r="D195" s="19"/>
      <c r="E195" s="19"/>
      <c r="F195" s="20"/>
      <c r="G195" s="12" t="str">
        <f aca="false">IF($A195="","",MONTH($A195))</f>
        <v/>
      </c>
    </row>
    <row r="196" customFormat="false" ht="15" hidden="false" customHeight="false" outlineLevel="0" collapsed="false">
      <c r="A196" s="18"/>
      <c r="B196" s="19"/>
      <c r="C196" s="19"/>
      <c r="D196" s="19"/>
      <c r="E196" s="19"/>
      <c r="F196" s="20"/>
      <c r="G196" s="12" t="str">
        <f aca="false">IF($A196="","",MONTH($A196))</f>
        <v/>
      </c>
    </row>
    <row r="197" customFormat="false" ht="15" hidden="false" customHeight="false" outlineLevel="0" collapsed="false">
      <c r="A197" s="18"/>
      <c r="B197" s="19"/>
      <c r="C197" s="19"/>
      <c r="D197" s="19"/>
      <c r="E197" s="19"/>
      <c r="F197" s="20"/>
      <c r="G197" s="12" t="str">
        <f aca="false">IF($A197="","",MONTH($A197))</f>
        <v/>
      </c>
    </row>
    <row r="198" customFormat="false" ht="15" hidden="false" customHeight="false" outlineLevel="0" collapsed="false">
      <c r="A198" s="18"/>
      <c r="B198" s="19"/>
      <c r="C198" s="19"/>
      <c r="D198" s="19"/>
      <c r="E198" s="19"/>
      <c r="F198" s="20"/>
      <c r="G198" s="12" t="str">
        <f aca="false">IF($A198="","",MONTH($A198))</f>
        <v/>
      </c>
    </row>
    <row r="199" customFormat="false" ht="15" hidden="false" customHeight="false" outlineLevel="0" collapsed="false">
      <c r="A199" s="18"/>
      <c r="B199" s="19"/>
      <c r="C199" s="19"/>
      <c r="D199" s="19"/>
      <c r="E199" s="19"/>
      <c r="F199" s="20"/>
      <c r="G199" s="12" t="str">
        <f aca="false">IF($A199="","",MONTH($A199))</f>
        <v/>
      </c>
    </row>
    <row r="200" customFormat="false" ht="15" hidden="false" customHeight="false" outlineLevel="0" collapsed="false">
      <c r="A200" s="18"/>
      <c r="B200" s="19"/>
      <c r="C200" s="19"/>
      <c r="D200" s="19"/>
      <c r="E200" s="19"/>
      <c r="F200" s="20"/>
      <c r="G200" s="12" t="str">
        <f aca="false">IF($A200="","",MONTH($A200))</f>
        <v/>
      </c>
    </row>
    <row r="201" customFormat="false" ht="15" hidden="false" customHeight="false" outlineLevel="0" collapsed="false">
      <c r="A201" s="18"/>
      <c r="B201" s="19"/>
      <c r="C201" s="19"/>
      <c r="D201" s="19"/>
      <c r="E201" s="19"/>
      <c r="F201" s="20"/>
      <c r="G201" s="12" t="str">
        <f aca="false">IF($A201="","",MONTH($A201))</f>
        <v/>
      </c>
    </row>
    <row r="202" customFormat="false" ht="15" hidden="false" customHeight="false" outlineLevel="0" collapsed="false">
      <c r="A202" s="18"/>
      <c r="B202" s="19"/>
      <c r="C202" s="19"/>
      <c r="D202" s="19"/>
      <c r="E202" s="19"/>
      <c r="F202" s="20"/>
      <c r="G202" s="12" t="str">
        <f aca="false">IF($A202="","",MONTH($A202))</f>
        <v/>
      </c>
    </row>
    <row r="203" customFormat="false" ht="15" hidden="false" customHeight="false" outlineLevel="0" collapsed="false">
      <c r="A203" s="18"/>
      <c r="B203" s="19"/>
      <c r="C203" s="19"/>
      <c r="D203" s="19"/>
      <c r="E203" s="19"/>
      <c r="F203" s="20"/>
      <c r="G203" s="12" t="str">
        <f aca="false">IF($A203="","",MONTH($A203))</f>
        <v/>
      </c>
    </row>
    <row r="204" customFormat="false" ht="15" hidden="false" customHeight="false" outlineLevel="0" collapsed="false">
      <c r="A204" s="18"/>
      <c r="B204" s="19"/>
      <c r="C204" s="19"/>
      <c r="D204" s="19"/>
      <c r="E204" s="19"/>
      <c r="F204" s="20"/>
      <c r="G204" s="12" t="str">
        <f aca="false">IF($A204="","",MONTH($A204))</f>
        <v/>
      </c>
    </row>
    <row r="205" customFormat="false" ht="15" hidden="false" customHeight="false" outlineLevel="0" collapsed="false">
      <c r="A205" s="18"/>
      <c r="B205" s="19"/>
      <c r="C205" s="19"/>
      <c r="D205" s="19"/>
      <c r="E205" s="19"/>
      <c r="F205" s="20"/>
      <c r="G205" s="12" t="str">
        <f aca="false">IF($A205="","",MONTH($A205))</f>
        <v/>
      </c>
    </row>
    <row r="206" customFormat="false" ht="15" hidden="false" customHeight="false" outlineLevel="0" collapsed="false">
      <c r="A206" s="18"/>
      <c r="B206" s="19"/>
      <c r="C206" s="19"/>
      <c r="D206" s="19"/>
      <c r="E206" s="19"/>
      <c r="F206" s="20"/>
      <c r="G206" s="12" t="str">
        <f aca="false">IF($A206="","",MONTH($A206))</f>
        <v/>
      </c>
    </row>
    <row r="207" customFormat="false" ht="15" hidden="false" customHeight="false" outlineLevel="0" collapsed="false">
      <c r="A207" s="18"/>
      <c r="B207" s="19"/>
      <c r="C207" s="19"/>
      <c r="D207" s="19"/>
      <c r="E207" s="19"/>
      <c r="F207" s="20"/>
      <c r="G207" s="12" t="str">
        <f aca="false">IF($A207="","",MONTH($A207))</f>
        <v/>
      </c>
    </row>
    <row r="208" customFormat="false" ht="15" hidden="false" customHeight="false" outlineLevel="0" collapsed="false">
      <c r="A208" s="18"/>
      <c r="B208" s="19"/>
      <c r="C208" s="19"/>
      <c r="D208" s="19"/>
      <c r="E208" s="19"/>
      <c r="F208" s="20"/>
      <c r="G208" s="12" t="str">
        <f aca="false">IF($A208="","",MONTH($A208))</f>
        <v/>
      </c>
    </row>
    <row r="209" customFormat="false" ht="15" hidden="false" customHeight="false" outlineLevel="0" collapsed="false">
      <c r="A209" s="18"/>
      <c r="B209" s="19"/>
      <c r="C209" s="19"/>
      <c r="D209" s="19"/>
      <c r="E209" s="19"/>
      <c r="F209" s="20"/>
      <c r="G209" s="12" t="str">
        <f aca="false">IF($A209="","",MONTH($A209))</f>
        <v/>
      </c>
    </row>
    <row r="210" customFormat="false" ht="15" hidden="false" customHeight="false" outlineLevel="0" collapsed="false">
      <c r="A210" s="18"/>
      <c r="B210" s="19"/>
      <c r="C210" s="19"/>
      <c r="D210" s="19"/>
      <c r="E210" s="19"/>
      <c r="F210" s="20"/>
      <c r="G210" s="12" t="str">
        <f aca="false">IF($A210="","",MONTH($A210))</f>
        <v/>
      </c>
    </row>
    <row r="211" customFormat="false" ht="15" hidden="false" customHeight="false" outlineLevel="0" collapsed="false">
      <c r="A211" s="18"/>
      <c r="B211" s="19"/>
      <c r="C211" s="19"/>
      <c r="D211" s="19"/>
      <c r="E211" s="19"/>
      <c r="F211" s="20"/>
      <c r="G211" s="12" t="str">
        <f aca="false">IF($A211="","",MONTH($A211))</f>
        <v/>
      </c>
    </row>
    <row r="212" customFormat="false" ht="15" hidden="false" customHeight="false" outlineLevel="0" collapsed="false">
      <c r="A212" s="18"/>
      <c r="B212" s="19"/>
      <c r="C212" s="19"/>
      <c r="D212" s="19"/>
      <c r="E212" s="19"/>
      <c r="F212" s="20"/>
      <c r="G212" s="12" t="str">
        <f aca="false">IF($A212="","",MONTH($A212))</f>
        <v/>
      </c>
    </row>
    <row r="213" customFormat="false" ht="15" hidden="false" customHeight="false" outlineLevel="0" collapsed="false">
      <c r="A213" s="18"/>
      <c r="B213" s="19"/>
      <c r="C213" s="19"/>
      <c r="D213" s="19"/>
      <c r="E213" s="19"/>
      <c r="F213" s="20"/>
      <c r="G213" s="12" t="str">
        <f aca="false">IF($A213="","",MONTH($A213))</f>
        <v/>
      </c>
    </row>
    <row r="214" customFormat="false" ht="15" hidden="false" customHeight="false" outlineLevel="0" collapsed="false">
      <c r="A214" s="18"/>
      <c r="B214" s="19"/>
      <c r="C214" s="19"/>
      <c r="D214" s="19"/>
      <c r="E214" s="19"/>
      <c r="F214" s="20"/>
      <c r="G214" s="12" t="str">
        <f aca="false">IF($A214="","",MONTH($A214))</f>
        <v/>
      </c>
    </row>
    <row r="215" customFormat="false" ht="15" hidden="false" customHeight="false" outlineLevel="0" collapsed="false">
      <c r="A215" s="18"/>
      <c r="B215" s="19"/>
      <c r="C215" s="19"/>
      <c r="D215" s="19"/>
      <c r="E215" s="19"/>
      <c r="F215" s="20"/>
      <c r="G215" s="12" t="str">
        <f aca="false">IF($A215="","",MONTH($A215))</f>
        <v/>
      </c>
    </row>
    <row r="216" customFormat="false" ht="15" hidden="false" customHeight="false" outlineLevel="0" collapsed="false">
      <c r="A216" s="18"/>
      <c r="B216" s="19"/>
      <c r="C216" s="19"/>
      <c r="D216" s="19"/>
      <c r="E216" s="19"/>
      <c r="F216" s="20"/>
      <c r="G216" s="12" t="str">
        <f aca="false">IF($A216="","",MONTH($A216))</f>
        <v/>
      </c>
    </row>
    <row r="217" customFormat="false" ht="15" hidden="false" customHeight="false" outlineLevel="0" collapsed="false">
      <c r="A217" s="18"/>
      <c r="B217" s="19"/>
      <c r="C217" s="19"/>
      <c r="D217" s="19"/>
      <c r="E217" s="19"/>
      <c r="F217" s="20"/>
      <c r="G217" s="12" t="str">
        <f aca="false">IF($A217="","",MONTH($A217))</f>
        <v/>
      </c>
    </row>
    <row r="218" customFormat="false" ht="15" hidden="false" customHeight="false" outlineLevel="0" collapsed="false">
      <c r="A218" s="18"/>
      <c r="B218" s="19"/>
      <c r="C218" s="19"/>
      <c r="D218" s="19"/>
      <c r="E218" s="19"/>
      <c r="F218" s="20"/>
      <c r="G218" s="12" t="str">
        <f aca="false">IF($A218="","",MONTH($A218))</f>
        <v/>
      </c>
    </row>
    <row r="219" customFormat="false" ht="15" hidden="false" customHeight="false" outlineLevel="0" collapsed="false">
      <c r="A219" s="18"/>
      <c r="B219" s="19"/>
      <c r="C219" s="19"/>
      <c r="D219" s="19"/>
      <c r="E219" s="19"/>
      <c r="F219" s="20"/>
      <c r="G219" s="12" t="str">
        <f aca="false">IF($A219="","",MONTH($A219))</f>
        <v/>
      </c>
    </row>
    <row r="220" customFormat="false" ht="15" hidden="false" customHeight="false" outlineLevel="0" collapsed="false">
      <c r="A220" s="18"/>
      <c r="B220" s="19"/>
      <c r="C220" s="19"/>
      <c r="D220" s="19"/>
      <c r="E220" s="19"/>
      <c r="F220" s="20"/>
      <c r="G220" s="12" t="str">
        <f aca="false">IF($A220="","",MONTH($A220))</f>
        <v/>
      </c>
    </row>
    <row r="221" customFormat="false" ht="15" hidden="false" customHeight="false" outlineLevel="0" collapsed="false">
      <c r="A221" s="18"/>
      <c r="B221" s="19"/>
      <c r="C221" s="19"/>
      <c r="D221" s="19"/>
      <c r="E221" s="19"/>
      <c r="F221" s="20"/>
      <c r="G221" s="12" t="str">
        <f aca="false">IF($A221="","",MONTH($A221))</f>
        <v/>
      </c>
    </row>
    <row r="222" customFormat="false" ht="15" hidden="false" customHeight="false" outlineLevel="0" collapsed="false">
      <c r="A222" s="18"/>
      <c r="B222" s="19"/>
      <c r="C222" s="19"/>
      <c r="D222" s="19"/>
      <c r="E222" s="19"/>
      <c r="F222" s="20"/>
      <c r="G222" s="12" t="str">
        <f aca="false">IF($A222="","",MONTH($A222))</f>
        <v/>
      </c>
    </row>
    <row r="223" customFormat="false" ht="15" hidden="false" customHeight="false" outlineLevel="0" collapsed="false">
      <c r="A223" s="18"/>
      <c r="B223" s="19"/>
      <c r="C223" s="19"/>
      <c r="D223" s="19"/>
      <c r="E223" s="19"/>
      <c r="F223" s="20"/>
      <c r="G223" s="12" t="str">
        <f aca="false">IF($A223="","",MONTH($A223))</f>
        <v/>
      </c>
    </row>
    <row r="224" customFormat="false" ht="15" hidden="false" customHeight="false" outlineLevel="0" collapsed="false">
      <c r="A224" s="18"/>
      <c r="B224" s="19"/>
      <c r="C224" s="19"/>
      <c r="D224" s="19"/>
      <c r="E224" s="19"/>
      <c r="F224" s="20"/>
      <c r="G224" s="12" t="str">
        <f aca="false">IF($A224="","",MONTH($A224))</f>
        <v/>
      </c>
    </row>
    <row r="225" customFormat="false" ht="15" hidden="false" customHeight="false" outlineLevel="0" collapsed="false">
      <c r="A225" s="18"/>
      <c r="B225" s="19"/>
      <c r="C225" s="19"/>
      <c r="D225" s="19"/>
      <c r="E225" s="19"/>
      <c r="F225" s="20"/>
      <c r="G225" s="12" t="str">
        <f aca="false">IF($A225="","",MONTH($A225))</f>
        <v/>
      </c>
    </row>
    <row r="226" customFormat="false" ht="15" hidden="false" customHeight="false" outlineLevel="0" collapsed="false">
      <c r="A226" s="18"/>
      <c r="B226" s="19"/>
      <c r="C226" s="19"/>
      <c r="D226" s="19"/>
      <c r="E226" s="19"/>
      <c r="F226" s="20"/>
      <c r="G226" s="12" t="str">
        <f aca="false">IF($A226="","",MONTH($A226))</f>
        <v/>
      </c>
    </row>
    <row r="227" customFormat="false" ht="15" hidden="false" customHeight="false" outlineLevel="0" collapsed="false">
      <c r="A227" s="18"/>
      <c r="B227" s="19"/>
      <c r="C227" s="19"/>
      <c r="D227" s="19"/>
      <c r="E227" s="19"/>
      <c r="F227" s="20"/>
      <c r="G227" s="12" t="str">
        <f aca="false">IF($A227="","",MONTH($A227))</f>
        <v/>
      </c>
    </row>
    <row r="228" customFormat="false" ht="15" hidden="false" customHeight="false" outlineLevel="0" collapsed="false">
      <c r="A228" s="18"/>
      <c r="B228" s="19"/>
      <c r="C228" s="19"/>
      <c r="D228" s="19"/>
      <c r="E228" s="19"/>
      <c r="F228" s="20"/>
      <c r="G228" s="12" t="str">
        <f aca="false">IF($A228="","",MONTH($A228))</f>
        <v/>
      </c>
    </row>
    <row r="229" customFormat="false" ht="15" hidden="false" customHeight="false" outlineLevel="0" collapsed="false">
      <c r="A229" s="18"/>
      <c r="B229" s="19"/>
      <c r="C229" s="19"/>
      <c r="D229" s="19"/>
      <c r="E229" s="19"/>
      <c r="F229" s="20"/>
      <c r="G229" s="12" t="str">
        <f aca="false">IF($A229="","",MONTH($A229))</f>
        <v/>
      </c>
    </row>
    <row r="230" customFormat="false" ht="15" hidden="false" customHeight="false" outlineLevel="0" collapsed="false">
      <c r="A230" s="18"/>
      <c r="B230" s="19"/>
      <c r="C230" s="19"/>
      <c r="D230" s="19"/>
      <c r="E230" s="19"/>
      <c r="F230" s="20"/>
      <c r="G230" s="12" t="str">
        <f aca="false">IF($A230="","",MONTH($A230))</f>
        <v/>
      </c>
    </row>
    <row r="231" customFormat="false" ht="15" hidden="false" customHeight="false" outlineLevel="0" collapsed="false">
      <c r="A231" s="18"/>
      <c r="B231" s="19"/>
      <c r="C231" s="19"/>
      <c r="D231" s="19"/>
      <c r="E231" s="19"/>
      <c r="F231" s="20"/>
      <c r="G231" s="12" t="str">
        <f aca="false">IF($A231="","",MONTH($A231))</f>
        <v/>
      </c>
    </row>
    <row r="232" customFormat="false" ht="15" hidden="false" customHeight="false" outlineLevel="0" collapsed="false">
      <c r="A232" s="18"/>
      <c r="B232" s="19"/>
      <c r="C232" s="19"/>
      <c r="D232" s="19"/>
      <c r="E232" s="19"/>
      <c r="F232" s="20"/>
      <c r="G232" s="12" t="str">
        <f aca="false">IF($A232="","",MONTH($A232))</f>
        <v/>
      </c>
    </row>
    <row r="233" customFormat="false" ht="15" hidden="false" customHeight="false" outlineLevel="0" collapsed="false">
      <c r="A233" s="18"/>
      <c r="B233" s="19"/>
      <c r="C233" s="19"/>
      <c r="D233" s="19"/>
      <c r="E233" s="19"/>
      <c r="F233" s="20"/>
      <c r="G233" s="12" t="str">
        <f aca="false">IF($A233="","",MONTH($A233))</f>
        <v/>
      </c>
    </row>
    <row r="234" customFormat="false" ht="15" hidden="false" customHeight="false" outlineLevel="0" collapsed="false">
      <c r="A234" s="18"/>
      <c r="B234" s="19"/>
      <c r="C234" s="19"/>
      <c r="D234" s="19"/>
      <c r="E234" s="19"/>
      <c r="F234" s="20"/>
      <c r="G234" s="12" t="str">
        <f aca="false">IF($A234="","",MONTH($A234))</f>
        <v/>
      </c>
    </row>
    <row r="235" customFormat="false" ht="15" hidden="false" customHeight="false" outlineLevel="0" collapsed="false">
      <c r="A235" s="18"/>
      <c r="B235" s="19"/>
      <c r="C235" s="19"/>
      <c r="D235" s="19"/>
      <c r="E235" s="19"/>
      <c r="F235" s="20"/>
      <c r="G235" s="12" t="str">
        <f aca="false">IF($A235="","",MONTH($A235))</f>
        <v/>
      </c>
    </row>
    <row r="236" customFormat="false" ht="15" hidden="false" customHeight="false" outlineLevel="0" collapsed="false">
      <c r="A236" s="18"/>
      <c r="B236" s="19"/>
      <c r="C236" s="19"/>
      <c r="D236" s="19"/>
      <c r="E236" s="19"/>
      <c r="F236" s="20"/>
      <c r="G236" s="12" t="str">
        <f aca="false">IF($A236="","",MONTH($A236))</f>
        <v/>
      </c>
    </row>
    <row r="237" customFormat="false" ht="15" hidden="false" customHeight="false" outlineLevel="0" collapsed="false">
      <c r="A237" s="18"/>
      <c r="B237" s="19"/>
      <c r="C237" s="19"/>
      <c r="D237" s="19"/>
      <c r="E237" s="19"/>
      <c r="F237" s="20"/>
      <c r="G237" s="12" t="str">
        <f aca="false">IF($A237="","",MONTH($A237))</f>
        <v/>
      </c>
    </row>
    <row r="238" customFormat="false" ht="15" hidden="false" customHeight="false" outlineLevel="0" collapsed="false">
      <c r="A238" s="18"/>
      <c r="B238" s="19"/>
      <c r="C238" s="19"/>
      <c r="D238" s="19"/>
      <c r="E238" s="19"/>
      <c r="F238" s="20"/>
      <c r="G238" s="12" t="str">
        <f aca="false">IF($A238="","",MONTH($A238))</f>
        <v/>
      </c>
    </row>
    <row r="239" customFormat="false" ht="15" hidden="false" customHeight="false" outlineLevel="0" collapsed="false">
      <c r="A239" s="18"/>
      <c r="B239" s="19"/>
      <c r="C239" s="19"/>
      <c r="D239" s="19"/>
      <c r="E239" s="19"/>
      <c r="F239" s="20"/>
      <c r="G239" s="12" t="str">
        <f aca="false">IF($A239="","",MONTH($A239))</f>
        <v/>
      </c>
    </row>
    <row r="240" customFormat="false" ht="15" hidden="false" customHeight="false" outlineLevel="0" collapsed="false">
      <c r="A240" s="18"/>
      <c r="B240" s="19"/>
      <c r="C240" s="19"/>
      <c r="D240" s="19"/>
      <c r="E240" s="19"/>
      <c r="F240" s="20"/>
      <c r="G240" s="12" t="str">
        <f aca="false">IF($A240="","",MONTH($A240))</f>
        <v/>
      </c>
    </row>
    <row r="241" customFormat="false" ht="15" hidden="false" customHeight="false" outlineLevel="0" collapsed="false">
      <c r="A241" s="18"/>
      <c r="B241" s="19"/>
      <c r="C241" s="19"/>
      <c r="D241" s="19"/>
      <c r="E241" s="19"/>
      <c r="F241" s="20"/>
      <c r="G241" s="12" t="str">
        <f aca="false">IF($A241="","",MONTH($A241))</f>
        <v/>
      </c>
    </row>
    <row r="242" customFormat="false" ht="15" hidden="false" customHeight="false" outlineLevel="0" collapsed="false">
      <c r="A242" s="18"/>
      <c r="B242" s="19"/>
      <c r="C242" s="19"/>
      <c r="D242" s="19"/>
      <c r="E242" s="19"/>
      <c r="F242" s="20"/>
      <c r="G242" s="12" t="str">
        <f aca="false">IF($A242="","",MONTH($A242))</f>
        <v/>
      </c>
    </row>
    <row r="243" customFormat="false" ht="15" hidden="false" customHeight="false" outlineLevel="0" collapsed="false">
      <c r="A243" s="18"/>
      <c r="B243" s="19"/>
      <c r="C243" s="19"/>
      <c r="D243" s="19"/>
      <c r="E243" s="19"/>
      <c r="F243" s="20"/>
      <c r="G243" s="12" t="str">
        <f aca="false">IF($A243="","",MONTH($A243))</f>
        <v/>
      </c>
    </row>
    <row r="244" customFormat="false" ht="15" hidden="false" customHeight="false" outlineLevel="0" collapsed="false">
      <c r="A244" s="18"/>
      <c r="B244" s="19"/>
      <c r="C244" s="19"/>
      <c r="D244" s="19"/>
      <c r="E244" s="19"/>
      <c r="F244" s="20"/>
      <c r="G244" s="12" t="str">
        <f aca="false">IF($A244="","",MONTH($A244))</f>
        <v/>
      </c>
    </row>
    <row r="245" customFormat="false" ht="15" hidden="false" customHeight="false" outlineLevel="0" collapsed="false">
      <c r="A245" s="18"/>
      <c r="B245" s="19"/>
      <c r="C245" s="19"/>
      <c r="D245" s="19"/>
      <c r="E245" s="19"/>
      <c r="F245" s="20"/>
      <c r="G245" s="12" t="str">
        <f aca="false">IF($A245="","",MONTH($A245))</f>
        <v/>
      </c>
    </row>
    <row r="246" customFormat="false" ht="15" hidden="false" customHeight="false" outlineLevel="0" collapsed="false">
      <c r="A246" s="18"/>
      <c r="B246" s="19"/>
      <c r="C246" s="19"/>
      <c r="D246" s="19"/>
      <c r="E246" s="19"/>
      <c r="F246" s="20"/>
      <c r="G246" s="12" t="str">
        <f aca="false">IF($A246="","",MONTH($A246))</f>
        <v/>
      </c>
    </row>
    <row r="247" customFormat="false" ht="15" hidden="false" customHeight="false" outlineLevel="0" collapsed="false">
      <c r="A247" s="18"/>
      <c r="B247" s="19"/>
      <c r="C247" s="19"/>
      <c r="D247" s="19"/>
      <c r="E247" s="19"/>
      <c r="F247" s="20"/>
      <c r="G247" s="12" t="str">
        <f aca="false">IF($A247="","",MONTH($A247))</f>
        <v/>
      </c>
    </row>
    <row r="248" customFormat="false" ht="15" hidden="false" customHeight="false" outlineLevel="0" collapsed="false">
      <c r="A248" s="18"/>
      <c r="B248" s="19"/>
      <c r="C248" s="19"/>
      <c r="D248" s="19"/>
      <c r="E248" s="19"/>
      <c r="F248" s="20"/>
      <c r="G248" s="12" t="str">
        <f aca="false">IF($A248="","",MONTH($A248))</f>
        <v/>
      </c>
    </row>
    <row r="249" customFormat="false" ht="15" hidden="false" customHeight="false" outlineLevel="0" collapsed="false">
      <c r="A249" s="18"/>
      <c r="B249" s="19"/>
      <c r="C249" s="19"/>
      <c r="D249" s="19"/>
      <c r="E249" s="19"/>
      <c r="F249" s="20"/>
      <c r="G249" s="12" t="str">
        <f aca="false">IF($A249="","",MONTH($A249))</f>
        <v/>
      </c>
    </row>
    <row r="250" customFormat="false" ht="15" hidden="false" customHeight="false" outlineLevel="0" collapsed="false">
      <c r="A250" s="18"/>
      <c r="B250" s="19"/>
      <c r="C250" s="19"/>
      <c r="D250" s="19"/>
      <c r="E250" s="19"/>
      <c r="F250" s="20"/>
      <c r="G250" s="12" t="str">
        <f aca="false">IF($A250="","",MONTH($A250))</f>
        <v/>
      </c>
    </row>
    <row r="251" customFormat="false" ht="15" hidden="false" customHeight="false" outlineLevel="0" collapsed="false">
      <c r="A251" s="18"/>
      <c r="B251" s="19"/>
      <c r="C251" s="19"/>
      <c r="D251" s="19"/>
      <c r="E251" s="19"/>
      <c r="F251" s="20"/>
      <c r="G251" s="12" t="str">
        <f aca="false">IF($A251="","",MONTH($A251))</f>
        <v/>
      </c>
    </row>
    <row r="252" customFormat="false" ht="15" hidden="false" customHeight="false" outlineLevel="0" collapsed="false">
      <c r="A252" s="18"/>
      <c r="B252" s="19"/>
      <c r="C252" s="19"/>
      <c r="D252" s="19"/>
      <c r="E252" s="19"/>
      <c r="F252" s="20"/>
      <c r="G252" s="12" t="str">
        <f aca="false">IF($A252="","",MONTH($A252))</f>
        <v/>
      </c>
    </row>
    <row r="253" customFormat="false" ht="15" hidden="false" customHeight="false" outlineLevel="0" collapsed="false">
      <c r="A253" s="18"/>
      <c r="B253" s="19"/>
      <c r="C253" s="19"/>
      <c r="D253" s="19"/>
      <c r="E253" s="19"/>
      <c r="F253" s="20"/>
      <c r="G253" s="12" t="str">
        <f aca="false">IF($A253="","",MONTH($A253))</f>
        <v/>
      </c>
    </row>
    <row r="254" customFormat="false" ht="15" hidden="false" customHeight="false" outlineLevel="0" collapsed="false">
      <c r="A254" s="18"/>
      <c r="B254" s="19"/>
      <c r="C254" s="19"/>
      <c r="D254" s="19"/>
      <c r="E254" s="19"/>
      <c r="F254" s="20"/>
      <c r="G254" s="12" t="str">
        <f aca="false">IF($A254="","",MONTH($A254))</f>
        <v/>
      </c>
    </row>
    <row r="255" customFormat="false" ht="15" hidden="false" customHeight="false" outlineLevel="0" collapsed="false">
      <c r="A255" s="18"/>
      <c r="B255" s="19"/>
      <c r="C255" s="19"/>
      <c r="D255" s="19"/>
      <c r="E255" s="19"/>
      <c r="F255" s="20"/>
      <c r="G255" s="12" t="str">
        <f aca="false">IF($A255="","",MONTH($A255))</f>
        <v/>
      </c>
    </row>
    <row r="256" customFormat="false" ht="15" hidden="false" customHeight="false" outlineLevel="0" collapsed="false">
      <c r="A256" s="18"/>
      <c r="B256" s="19"/>
      <c r="C256" s="19"/>
      <c r="D256" s="19"/>
      <c r="E256" s="19"/>
      <c r="F256" s="20"/>
      <c r="G256" s="12" t="str">
        <f aca="false">IF($A256="","",MONTH($A256))</f>
        <v/>
      </c>
    </row>
    <row r="257" customFormat="false" ht="15" hidden="false" customHeight="false" outlineLevel="0" collapsed="false">
      <c r="A257" s="18"/>
      <c r="B257" s="19"/>
      <c r="C257" s="19"/>
      <c r="D257" s="19"/>
      <c r="E257" s="19"/>
      <c r="F257" s="20"/>
      <c r="G257" s="12" t="str">
        <f aca="false">IF($A257="","",MONTH($A257))</f>
        <v/>
      </c>
    </row>
    <row r="258" customFormat="false" ht="15" hidden="false" customHeight="false" outlineLevel="0" collapsed="false">
      <c r="A258" s="18"/>
      <c r="B258" s="19"/>
      <c r="C258" s="19"/>
      <c r="D258" s="19"/>
      <c r="E258" s="19"/>
      <c r="F258" s="20"/>
      <c r="G258" s="12" t="str">
        <f aca="false">IF($A258="","",MONTH($A258))</f>
        <v/>
      </c>
    </row>
    <row r="259" customFormat="false" ht="15" hidden="false" customHeight="false" outlineLevel="0" collapsed="false">
      <c r="A259" s="18"/>
      <c r="B259" s="19"/>
      <c r="C259" s="19"/>
      <c r="D259" s="19"/>
      <c r="E259" s="19"/>
      <c r="F259" s="20"/>
      <c r="G259" s="12" t="str">
        <f aca="false">IF($A259="","",MONTH($A259))</f>
        <v/>
      </c>
    </row>
    <row r="260" customFormat="false" ht="15" hidden="false" customHeight="false" outlineLevel="0" collapsed="false">
      <c r="A260" s="18"/>
      <c r="B260" s="19"/>
      <c r="C260" s="19"/>
      <c r="D260" s="19"/>
      <c r="E260" s="19"/>
      <c r="F260" s="20"/>
      <c r="G260" s="12" t="str">
        <f aca="false">IF($A260="","",MONTH($A260))</f>
        <v/>
      </c>
    </row>
    <row r="261" customFormat="false" ht="15" hidden="false" customHeight="false" outlineLevel="0" collapsed="false">
      <c r="A261" s="18"/>
      <c r="B261" s="19"/>
      <c r="C261" s="19"/>
      <c r="D261" s="19"/>
      <c r="E261" s="19"/>
      <c r="F261" s="20"/>
      <c r="G261" s="12" t="str">
        <f aca="false">IF($A261="","",MONTH($A261))</f>
        <v/>
      </c>
    </row>
    <row r="262" customFormat="false" ht="15" hidden="false" customHeight="false" outlineLevel="0" collapsed="false">
      <c r="A262" s="18"/>
      <c r="B262" s="19"/>
      <c r="C262" s="19"/>
      <c r="D262" s="19"/>
      <c r="E262" s="19"/>
      <c r="F262" s="20"/>
      <c r="G262" s="12" t="str">
        <f aca="false">IF($A262="","",MONTH($A262))</f>
        <v/>
      </c>
    </row>
    <row r="263" customFormat="false" ht="15" hidden="false" customHeight="false" outlineLevel="0" collapsed="false">
      <c r="A263" s="18"/>
      <c r="B263" s="19"/>
      <c r="C263" s="19"/>
      <c r="D263" s="19"/>
      <c r="E263" s="19"/>
      <c r="F263" s="20"/>
      <c r="G263" s="12" t="str">
        <f aca="false">IF($A263="","",MONTH($A263))</f>
        <v/>
      </c>
    </row>
    <row r="264" customFormat="false" ht="15" hidden="false" customHeight="false" outlineLevel="0" collapsed="false">
      <c r="A264" s="18"/>
      <c r="B264" s="19"/>
      <c r="C264" s="19"/>
      <c r="D264" s="19"/>
      <c r="E264" s="19"/>
      <c r="F264" s="20"/>
      <c r="G264" s="12" t="str">
        <f aca="false">IF($A264="","",MONTH($A264))</f>
        <v/>
      </c>
    </row>
    <row r="265" customFormat="false" ht="15" hidden="false" customHeight="false" outlineLevel="0" collapsed="false">
      <c r="A265" s="18"/>
      <c r="B265" s="19"/>
      <c r="C265" s="19"/>
      <c r="D265" s="19"/>
      <c r="E265" s="19"/>
      <c r="F265" s="20"/>
      <c r="G265" s="12" t="str">
        <f aca="false">IF($A265="","",MONTH($A265))</f>
        <v/>
      </c>
    </row>
    <row r="266" customFormat="false" ht="15" hidden="false" customHeight="false" outlineLevel="0" collapsed="false">
      <c r="A266" s="18"/>
      <c r="B266" s="19"/>
      <c r="C266" s="19"/>
      <c r="D266" s="19"/>
      <c r="E266" s="19"/>
      <c r="F266" s="20"/>
      <c r="G266" s="12" t="str">
        <f aca="false">IF($A266="","",MONTH($A266))</f>
        <v/>
      </c>
    </row>
    <row r="267" customFormat="false" ht="15" hidden="false" customHeight="false" outlineLevel="0" collapsed="false">
      <c r="A267" s="18"/>
      <c r="B267" s="19"/>
      <c r="C267" s="19"/>
      <c r="D267" s="19"/>
      <c r="E267" s="19"/>
      <c r="F267" s="20"/>
      <c r="G267" s="12" t="str">
        <f aca="false">IF($A267="","",MONTH($A267))</f>
        <v/>
      </c>
    </row>
    <row r="268" customFormat="false" ht="15" hidden="false" customHeight="false" outlineLevel="0" collapsed="false">
      <c r="A268" s="18"/>
      <c r="B268" s="19"/>
      <c r="C268" s="19"/>
      <c r="D268" s="19"/>
      <c r="E268" s="19"/>
      <c r="F268" s="20"/>
      <c r="G268" s="12" t="str">
        <f aca="false">IF($A268="","",MONTH($A268))</f>
        <v/>
      </c>
    </row>
    <row r="269" customFormat="false" ht="15" hidden="false" customHeight="false" outlineLevel="0" collapsed="false">
      <c r="A269" s="18"/>
      <c r="B269" s="19"/>
      <c r="C269" s="19"/>
      <c r="D269" s="19"/>
      <c r="E269" s="19"/>
      <c r="F269" s="20"/>
      <c r="G269" s="12" t="str">
        <f aca="false">IF($A269="","",MONTH($A269))</f>
        <v/>
      </c>
    </row>
    <row r="270" customFormat="false" ht="15" hidden="false" customHeight="false" outlineLevel="0" collapsed="false">
      <c r="A270" s="18"/>
      <c r="B270" s="19"/>
      <c r="C270" s="19"/>
      <c r="D270" s="19"/>
      <c r="E270" s="19"/>
      <c r="F270" s="20"/>
      <c r="G270" s="12" t="str">
        <f aca="false">IF($A270="","",MONTH($A270))</f>
        <v/>
      </c>
    </row>
    <row r="271" customFormat="false" ht="15" hidden="false" customHeight="false" outlineLevel="0" collapsed="false">
      <c r="A271" s="18"/>
      <c r="B271" s="19"/>
      <c r="C271" s="19"/>
      <c r="D271" s="19"/>
      <c r="E271" s="19"/>
      <c r="F271" s="20"/>
      <c r="G271" s="12" t="str">
        <f aca="false">IF($A271="","",MONTH($A271))</f>
        <v/>
      </c>
    </row>
    <row r="272" customFormat="false" ht="15" hidden="false" customHeight="false" outlineLevel="0" collapsed="false">
      <c r="A272" s="18"/>
      <c r="B272" s="19"/>
      <c r="C272" s="19"/>
      <c r="D272" s="19"/>
      <c r="E272" s="19"/>
      <c r="F272" s="20"/>
      <c r="G272" s="12" t="str">
        <f aca="false">IF($A272="","",MONTH($A272))</f>
        <v/>
      </c>
    </row>
    <row r="273" customFormat="false" ht="15" hidden="false" customHeight="false" outlineLevel="0" collapsed="false">
      <c r="A273" s="18"/>
      <c r="B273" s="19"/>
      <c r="C273" s="19"/>
      <c r="D273" s="19"/>
      <c r="E273" s="19"/>
      <c r="F273" s="20"/>
      <c r="G273" s="12" t="str">
        <f aca="false">IF($A273="","",MONTH($A273))</f>
        <v/>
      </c>
    </row>
    <row r="274" customFormat="false" ht="15" hidden="false" customHeight="false" outlineLevel="0" collapsed="false">
      <c r="A274" s="18"/>
      <c r="B274" s="19"/>
      <c r="C274" s="19"/>
      <c r="D274" s="19"/>
      <c r="E274" s="19"/>
      <c r="F274" s="20"/>
      <c r="G274" s="12" t="str">
        <f aca="false">IF($A274="","",MONTH($A274))</f>
        <v/>
      </c>
    </row>
    <row r="275" customFormat="false" ht="15" hidden="false" customHeight="false" outlineLevel="0" collapsed="false">
      <c r="A275" s="18"/>
      <c r="B275" s="19"/>
      <c r="C275" s="19"/>
      <c r="D275" s="19"/>
      <c r="E275" s="19"/>
      <c r="F275" s="20"/>
      <c r="G275" s="12" t="str">
        <f aca="false">IF($A275="","",MONTH($A275))</f>
        <v/>
      </c>
    </row>
    <row r="276" customFormat="false" ht="15" hidden="false" customHeight="false" outlineLevel="0" collapsed="false">
      <c r="A276" s="18"/>
      <c r="B276" s="19"/>
      <c r="C276" s="19"/>
      <c r="D276" s="19"/>
      <c r="E276" s="19"/>
      <c r="F276" s="20"/>
      <c r="G276" s="12" t="str">
        <f aca="false">IF($A276="","",MONTH($A276))</f>
        <v/>
      </c>
    </row>
    <row r="277" customFormat="false" ht="15" hidden="false" customHeight="false" outlineLevel="0" collapsed="false">
      <c r="A277" s="18"/>
      <c r="B277" s="19"/>
      <c r="C277" s="19"/>
      <c r="D277" s="19"/>
      <c r="E277" s="19"/>
      <c r="F277" s="20"/>
      <c r="G277" s="12" t="str">
        <f aca="false">IF($A277="","",MONTH($A277))</f>
        <v/>
      </c>
    </row>
    <row r="278" customFormat="false" ht="15" hidden="false" customHeight="false" outlineLevel="0" collapsed="false">
      <c r="A278" s="18"/>
      <c r="B278" s="19"/>
      <c r="C278" s="19"/>
      <c r="D278" s="19"/>
      <c r="E278" s="19"/>
      <c r="F278" s="20"/>
      <c r="G278" s="12" t="str">
        <f aca="false">IF($A278="","",MONTH($A278))</f>
        <v/>
      </c>
    </row>
    <row r="279" customFormat="false" ht="15" hidden="false" customHeight="false" outlineLevel="0" collapsed="false">
      <c r="A279" s="18"/>
      <c r="B279" s="19"/>
      <c r="C279" s="19"/>
      <c r="D279" s="19"/>
      <c r="E279" s="19"/>
      <c r="F279" s="20"/>
      <c r="G279" s="12" t="str">
        <f aca="false">IF($A279="","",MONTH($A279))</f>
        <v/>
      </c>
    </row>
    <row r="280" customFormat="false" ht="15" hidden="false" customHeight="false" outlineLevel="0" collapsed="false">
      <c r="A280" s="18"/>
      <c r="B280" s="19"/>
      <c r="C280" s="19"/>
      <c r="D280" s="19"/>
      <c r="E280" s="19"/>
      <c r="F280" s="20"/>
      <c r="G280" s="12" t="str">
        <f aca="false">IF($A280="","",MONTH($A280))</f>
        <v/>
      </c>
    </row>
    <row r="281" customFormat="false" ht="15" hidden="false" customHeight="false" outlineLevel="0" collapsed="false">
      <c r="A281" s="18"/>
      <c r="B281" s="19"/>
      <c r="C281" s="19"/>
      <c r="D281" s="19"/>
      <c r="E281" s="19"/>
      <c r="F281" s="20"/>
      <c r="G281" s="12" t="str">
        <f aca="false">IF($A281="","",MONTH($A281))</f>
        <v/>
      </c>
    </row>
    <row r="282" customFormat="false" ht="15" hidden="false" customHeight="false" outlineLevel="0" collapsed="false">
      <c r="A282" s="18"/>
      <c r="B282" s="19"/>
      <c r="C282" s="19"/>
      <c r="D282" s="19"/>
      <c r="E282" s="19"/>
      <c r="F282" s="20"/>
      <c r="G282" s="12" t="str">
        <f aca="false">IF($A282="","",MONTH($A282))</f>
        <v/>
      </c>
    </row>
    <row r="283" customFormat="false" ht="15" hidden="false" customHeight="false" outlineLevel="0" collapsed="false">
      <c r="A283" s="18"/>
      <c r="B283" s="19"/>
      <c r="C283" s="19"/>
      <c r="D283" s="19"/>
      <c r="E283" s="19"/>
      <c r="F283" s="20"/>
      <c r="G283" s="12" t="str">
        <f aca="false">IF($A283="","",MONTH($A283))</f>
        <v/>
      </c>
    </row>
    <row r="284" customFormat="false" ht="15" hidden="false" customHeight="false" outlineLevel="0" collapsed="false">
      <c r="A284" s="18"/>
      <c r="B284" s="19"/>
      <c r="C284" s="19"/>
      <c r="D284" s="19"/>
      <c r="E284" s="19"/>
      <c r="F284" s="20"/>
      <c r="G284" s="12" t="str">
        <f aca="false">IF($A284="","",MONTH($A284))</f>
        <v/>
      </c>
    </row>
    <row r="285" customFormat="false" ht="15" hidden="false" customHeight="false" outlineLevel="0" collapsed="false">
      <c r="A285" s="18"/>
      <c r="B285" s="19"/>
      <c r="C285" s="19"/>
      <c r="D285" s="19"/>
      <c r="E285" s="19"/>
      <c r="F285" s="20"/>
      <c r="G285" s="12" t="str">
        <f aca="false">IF($A285="","",MONTH($A285))</f>
        <v/>
      </c>
    </row>
    <row r="286" customFormat="false" ht="15" hidden="false" customHeight="false" outlineLevel="0" collapsed="false">
      <c r="A286" s="18"/>
      <c r="B286" s="19"/>
      <c r="C286" s="19"/>
      <c r="D286" s="19"/>
      <c r="E286" s="19"/>
      <c r="F286" s="20"/>
      <c r="G286" s="12" t="str">
        <f aca="false">IF($A286="","",MONTH($A286))</f>
        <v/>
      </c>
    </row>
    <row r="287" customFormat="false" ht="15" hidden="false" customHeight="false" outlineLevel="0" collapsed="false">
      <c r="A287" s="18"/>
      <c r="B287" s="19"/>
      <c r="C287" s="19"/>
      <c r="D287" s="19"/>
      <c r="E287" s="19"/>
      <c r="F287" s="20"/>
      <c r="G287" s="12" t="str">
        <f aca="false">IF($A287="","",MONTH($A287))</f>
        <v/>
      </c>
    </row>
    <row r="288" customFormat="false" ht="15" hidden="false" customHeight="false" outlineLevel="0" collapsed="false">
      <c r="A288" s="18"/>
      <c r="B288" s="19"/>
      <c r="C288" s="19"/>
      <c r="D288" s="19"/>
      <c r="E288" s="19"/>
      <c r="F288" s="20"/>
      <c r="G288" s="12" t="str">
        <f aca="false">IF($A288="","",MONTH($A288))</f>
        <v/>
      </c>
    </row>
    <row r="289" customFormat="false" ht="15" hidden="false" customHeight="false" outlineLevel="0" collapsed="false">
      <c r="A289" s="18"/>
      <c r="B289" s="19"/>
      <c r="C289" s="19"/>
      <c r="D289" s="19"/>
      <c r="E289" s="19"/>
      <c r="F289" s="20"/>
      <c r="G289" s="12" t="str">
        <f aca="false">IF($A289="","",MONTH($A289))</f>
        <v/>
      </c>
    </row>
    <row r="290" customFormat="false" ht="15" hidden="false" customHeight="false" outlineLevel="0" collapsed="false">
      <c r="A290" s="18"/>
      <c r="B290" s="19"/>
      <c r="C290" s="19"/>
      <c r="D290" s="19"/>
      <c r="E290" s="19"/>
      <c r="F290" s="20"/>
      <c r="G290" s="12" t="str">
        <f aca="false">IF($A290="","",MONTH($A290))</f>
        <v/>
      </c>
    </row>
    <row r="291" customFormat="false" ht="15" hidden="false" customHeight="false" outlineLevel="0" collapsed="false">
      <c r="A291" s="18"/>
      <c r="B291" s="19"/>
      <c r="C291" s="19"/>
      <c r="D291" s="19"/>
      <c r="E291" s="19"/>
      <c r="F291" s="20"/>
      <c r="G291" s="12" t="str">
        <f aca="false">IF($A291="","",MONTH($A291))</f>
        <v/>
      </c>
    </row>
    <row r="292" customFormat="false" ht="15" hidden="false" customHeight="false" outlineLevel="0" collapsed="false">
      <c r="A292" s="18"/>
      <c r="B292" s="19"/>
      <c r="C292" s="19"/>
      <c r="D292" s="19"/>
      <c r="E292" s="19"/>
      <c r="F292" s="20"/>
      <c r="G292" s="12" t="str">
        <f aca="false">IF($A292="","",MONTH($A292))</f>
        <v/>
      </c>
    </row>
    <row r="293" customFormat="false" ht="15" hidden="false" customHeight="false" outlineLevel="0" collapsed="false">
      <c r="A293" s="18"/>
      <c r="B293" s="19"/>
      <c r="C293" s="19"/>
      <c r="D293" s="19"/>
      <c r="E293" s="19"/>
      <c r="F293" s="20"/>
      <c r="G293" s="12" t="str">
        <f aca="false">IF($A293="","",MONTH($A293))</f>
        <v/>
      </c>
    </row>
    <row r="294" customFormat="false" ht="15" hidden="false" customHeight="false" outlineLevel="0" collapsed="false">
      <c r="A294" s="18"/>
      <c r="B294" s="19"/>
      <c r="C294" s="19"/>
      <c r="D294" s="19"/>
      <c r="E294" s="19"/>
      <c r="F294" s="20"/>
      <c r="G294" s="12" t="str">
        <f aca="false">IF($A294="","",MONTH($A294))</f>
        <v/>
      </c>
    </row>
    <row r="295" customFormat="false" ht="15" hidden="false" customHeight="false" outlineLevel="0" collapsed="false">
      <c r="A295" s="18"/>
      <c r="B295" s="19"/>
      <c r="C295" s="19"/>
      <c r="D295" s="19"/>
      <c r="E295" s="19"/>
      <c r="F295" s="20"/>
      <c r="G295" s="12" t="str">
        <f aca="false">IF($A295="","",MONTH($A295))</f>
        <v/>
      </c>
    </row>
    <row r="296" customFormat="false" ht="15" hidden="false" customHeight="false" outlineLevel="0" collapsed="false">
      <c r="A296" s="18"/>
      <c r="B296" s="19"/>
      <c r="C296" s="19"/>
      <c r="D296" s="19"/>
      <c r="E296" s="19"/>
      <c r="F296" s="20"/>
      <c r="G296" s="12" t="str">
        <f aca="false">IF($A296="","",MONTH($A296))</f>
        <v/>
      </c>
    </row>
    <row r="297" customFormat="false" ht="15" hidden="false" customHeight="false" outlineLevel="0" collapsed="false">
      <c r="A297" s="18"/>
      <c r="B297" s="19"/>
      <c r="C297" s="19"/>
      <c r="D297" s="19"/>
      <c r="E297" s="19"/>
      <c r="F297" s="20"/>
      <c r="G297" s="12" t="str">
        <f aca="false">IF($A297="","",MONTH($A297))</f>
        <v/>
      </c>
    </row>
    <row r="298" customFormat="false" ht="15" hidden="false" customHeight="false" outlineLevel="0" collapsed="false">
      <c r="A298" s="18"/>
      <c r="B298" s="19"/>
      <c r="C298" s="19"/>
      <c r="D298" s="19"/>
      <c r="E298" s="19"/>
      <c r="F298" s="20"/>
      <c r="G298" s="12" t="str">
        <f aca="false">IF($A298="","",MONTH($A298))</f>
        <v/>
      </c>
    </row>
    <row r="299" customFormat="false" ht="15" hidden="false" customHeight="false" outlineLevel="0" collapsed="false">
      <c r="A299" s="18"/>
      <c r="B299" s="19"/>
      <c r="C299" s="19"/>
      <c r="D299" s="19"/>
      <c r="E299" s="19"/>
      <c r="F299" s="20"/>
      <c r="G299" s="12" t="str">
        <f aca="false">IF($A299="","",MONTH($A299))</f>
        <v/>
      </c>
    </row>
    <row r="300" customFormat="false" ht="15" hidden="false" customHeight="false" outlineLevel="0" collapsed="false">
      <c r="A300" s="18"/>
      <c r="B300" s="19"/>
      <c r="C300" s="19"/>
      <c r="D300" s="19"/>
      <c r="E300" s="19"/>
      <c r="F300" s="20"/>
      <c r="G300" s="12" t="str">
        <f aca="false">IF($A300="","",MONTH($A300))</f>
        <v/>
      </c>
    </row>
    <row r="301" customFormat="false" ht="15" hidden="false" customHeight="false" outlineLevel="0" collapsed="false">
      <c r="A301" s="18"/>
      <c r="B301" s="19"/>
      <c r="C301" s="19"/>
      <c r="D301" s="19"/>
      <c r="E301" s="19"/>
      <c r="F301" s="20"/>
      <c r="G301" s="12" t="str">
        <f aca="false">IF($A301="","",MONTH($A301))</f>
        <v/>
      </c>
    </row>
    <row r="302" customFormat="false" ht="15" hidden="false" customHeight="false" outlineLevel="0" collapsed="false">
      <c r="A302" s="18"/>
      <c r="B302" s="19"/>
      <c r="C302" s="19"/>
      <c r="D302" s="19"/>
      <c r="E302" s="19"/>
      <c r="F302" s="20"/>
      <c r="G302" s="12" t="str">
        <f aca="false">IF($A302="","",MONTH($A302))</f>
        <v/>
      </c>
    </row>
    <row r="303" customFormat="false" ht="15" hidden="false" customHeight="false" outlineLevel="0" collapsed="false">
      <c r="A303" s="18"/>
      <c r="B303" s="19"/>
      <c r="C303" s="19"/>
      <c r="D303" s="19"/>
      <c r="E303" s="19"/>
      <c r="F303" s="20"/>
      <c r="G303" s="12" t="str">
        <f aca="false">IF($A303="","",MONTH($A303))</f>
        <v/>
      </c>
    </row>
    <row r="304" customFormat="false" ht="15" hidden="false" customHeight="false" outlineLevel="0" collapsed="false">
      <c r="A304" s="18"/>
      <c r="B304" s="19"/>
      <c r="C304" s="19"/>
      <c r="D304" s="19"/>
      <c r="E304" s="19"/>
      <c r="F304" s="20"/>
      <c r="G304" s="12" t="str">
        <f aca="false">IF($A304="","",MONTH($A304))</f>
        <v/>
      </c>
    </row>
    <row r="305" customFormat="false" ht="15" hidden="false" customHeight="false" outlineLevel="0" collapsed="false">
      <c r="A305" s="18"/>
      <c r="B305" s="19"/>
      <c r="C305" s="19"/>
      <c r="D305" s="19"/>
      <c r="E305" s="19"/>
      <c r="F305" s="20"/>
      <c r="G305" s="12" t="str">
        <f aca="false">IF($A305="","",MONTH($A305))</f>
        <v/>
      </c>
    </row>
    <row r="306" customFormat="false" ht="15" hidden="false" customHeight="false" outlineLevel="0" collapsed="false">
      <c r="A306" s="18"/>
      <c r="B306" s="19"/>
      <c r="C306" s="19"/>
      <c r="D306" s="19"/>
      <c r="E306" s="19"/>
      <c r="F306" s="20"/>
      <c r="G306" s="12" t="str">
        <f aca="false">IF($A306="","",MONTH($A306))</f>
        <v/>
      </c>
    </row>
  </sheetData>
  <dataValidations count="2">
    <dataValidation allowBlank="true" errorStyle="stop" operator="between" showDropDown="false" showErrorMessage="false" showInputMessage="false" sqref="D7:D306" type="list">
      <formula1>"Einnahme,Ausgabe"</formula1>
      <formula2>0</formula2>
    </dataValidation>
    <dataValidation allowBlank="true" errorStyle="stop" operator="between" showDropDown="false" showErrorMessage="false" showInputMessage="false" sqref="E7:E306" type="list">
      <formula1>"Etsy-Verkauf,Sonstige Einnahme,Material,Verpackung,Versand,Etsy-Gebühren,Werbung/Ads,Software/Tools,Sonstiges"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"/>
    <col collapsed="false" customWidth="true" hidden="false" outlineLevel="0" max="6" min="6" style="0" width="95"/>
  </cols>
  <sheetData>
    <row r="1" customFormat="false" ht="19.7" hidden="false" customHeight="false" outlineLevel="0" collapsed="false">
      <c r="A1" s="1" t="s">
        <v>65</v>
      </c>
    </row>
    <row r="2" customFormat="false" ht="15" hidden="false" customHeight="false" outlineLevel="0" collapsed="false">
      <c r="A2" s="12" t="s">
        <v>66</v>
      </c>
    </row>
    <row r="4" customFormat="false" ht="15" hidden="false" customHeight="false" outlineLevel="0" collapsed="false">
      <c r="A4" s="4" t="s">
        <v>67</v>
      </c>
      <c r="B4" s="25" t="n">
        <v>0.19</v>
      </c>
      <c r="C4" s="15" t="s">
        <v>68</v>
      </c>
      <c r="F4" s="3" t="s">
        <v>69</v>
      </c>
    </row>
    <row r="6" customFormat="false" ht="51.75" hidden="false" customHeight="true" outlineLevel="0" collapsed="false">
      <c r="A6" s="17" t="s">
        <v>39</v>
      </c>
      <c r="B6" s="17" t="s">
        <v>70</v>
      </c>
      <c r="C6" s="17" t="s">
        <v>71</v>
      </c>
      <c r="D6" s="17" t="s">
        <v>72</v>
      </c>
      <c r="F6" s="5" t="s">
        <v>73</v>
      </c>
    </row>
    <row r="7" customFormat="false" ht="15" hidden="false" customHeight="false" outlineLevel="0" collapsed="false">
      <c r="A7" s="21" t="s">
        <v>52</v>
      </c>
      <c r="B7" s="20" t="n">
        <v>23.45</v>
      </c>
      <c r="C7" s="22" t="n">
        <f aca="false">IF($B7="","",$B7*$B$4)</f>
        <v>4.4555</v>
      </c>
      <c r="D7" s="19" t="s">
        <v>74</v>
      </c>
    </row>
    <row r="8" customFormat="false" ht="51.75" hidden="false" customHeight="true" outlineLevel="0" collapsed="false">
      <c r="A8" s="21" t="s">
        <v>53</v>
      </c>
      <c r="B8" s="20"/>
      <c r="C8" s="22" t="str">
        <f aca="false">IF($B8="","",$B8*$B$4)</f>
        <v/>
      </c>
      <c r="D8" s="19"/>
      <c r="F8" s="5" t="s">
        <v>75</v>
      </c>
    </row>
    <row r="9" customFormat="false" ht="15" hidden="false" customHeight="false" outlineLevel="0" collapsed="false">
      <c r="A9" s="21" t="s">
        <v>54</v>
      </c>
      <c r="B9" s="20"/>
      <c r="C9" s="22" t="str">
        <f aca="false">IF($B9="","",$B9*$B$4)</f>
        <v/>
      </c>
      <c r="D9" s="19"/>
    </row>
    <row r="10" customFormat="false" ht="30" hidden="false" customHeight="true" outlineLevel="0" collapsed="false">
      <c r="A10" s="21" t="s">
        <v>55</v>
      </c>
      <c r="B10" s="20"/>
      <c r="C10" s="22" t="str">
        <f aca="false">IF($B10="","",$B10*$B$4)</f>
        <v/>
      </c>
      <c r="D10" s="19"/>
      <c r="F10" s="26" t="s">
        <v>76</v>
      </c>
    </row>
    <row r="11" customFormat="false" ht="15" hidden="false" customHeight="false" outlineLevel="0" collapsed="false">
      <c r="A11" s="21" t="s">
        <v>56</v>
      </c>
      <c r="B11" s="20"/>
      <c r="C11" s="22" t="str">
        <f aca="false">IF($B11="","",$B11*$B$4)</f>
        <v/>
      </c>
      <c r="D11" s="19"/>
    </row>
    <row r="12" customFormat="false" ht="15" hidden="false" customHeight="false" outlineLevel="0" collapsed="false">
      <c r="A12" s="21" t="s">
        <v>57</v>
      </c>
      <c r="B12" s="20"/>
      <c r="C12" s="22" t="str">
        <f aca="false">IF($B12="","",$B12*$B$4)</f>
        <v/>
      </c>
      <c r="D12" s="19"/>
    </row>
    <row r="13" customFormat="false" ht="15" hidden="false" customHeight="false" outlineLevel="0" collapsed="false">
      <c r="A13" s="21" t="s">
        <v>58</v>
      </c>
      <c r="B13" s="20"/>
      <c r="C13" s="22" t="str">
        <f aca="false">IF($B13="","",$B13*$B$4)</f>
        <v/>
      </c>
      <c r="D13" s="19"/>
    </row>
    <row r="14" customFormat="false" ht="15" hidden="false" customHeight="false" outlineLevel="0" collapsed="false">
      <c r="A14" s="21" t="s">
        <v>59</v>
      </c>
      <c r="B14" s="20"/>
      <c r="C14" s="22" t="str">
        <f aca="false">IF($B14="","",$B14*$B$4)</f>
        <v/>
      </c>
      <c r="D14" s="19"/>
    </row>
    <row r="15" customFormat="false" ht="15" hidden="false" customHeight="false" outlineLevel="0" collapsed="false">
      <c r="A15" s="21" t="s">
        <v>60</v>
      </c>
      <c r="B15" s="20"/>
      <c r="C15" s="22" t="str">
        <f aca="false">IF($B15="","",$B15*$B$4)</f>
        <v/>
      </c>
      <c r="D15" s="19"/>
    </row>
    <row r="16" customFormat="false" ht="15" hidden="false" customHeight="false" outlineLevel="0" collapsed="false">
      <c r="A16" s="21" t="s">
        <v>61</v>
      </c>
      <c r="B16" s="20"/>
      <c r="C16" s="22" t="str">
        <f aca="false">IF($B16="","",$B16*$B$4)</f>
        <v/>
      </c>
      <c r="D16" s="19"/>
    </row>
    <row r="17" customFormat="false" ht="15" hidden="false" customHeight="false" outlineLevel="0" collapsed="false">
      <c r="A17" s="21" t="s">
        <v>62</v>
      </c>
      <c r="B17" s="20"/>
      <c r="C17" s="22" t="str">
        <f aca="false">IF($B17="","",$B17*$B$4)</f>
        <v/>
      </c>
      <c r="D17" s="19"/>
    </row>
    <row r="18" customFormat="false" ht="15" hidden="false" customHeight="false" outlineLevel="0" collapsed="false">
      <c r="A18" s="21" t="s">
        <v>63</v>
      </c>
      <c r="B18" s="20"/>
      <c r="C18" s="22" t="str">
        <f aca="false">IF($B18="","",$B18*$B$4)</f>
        <v/>
      </c>
      <c r="D18" s="19"/>
    </row>
    <row r="19" customFormat="false" ht="15" hidden="false" customHeight="false" outlineLevel="0" collapsed="false">
      <c r="A19" s="23" t="s">
        <v>77</v>
      </c>
      <c r="B19" s="24" t="n">
        <f aca="false">SUM(B7:B18)</f>
        <v>23.45</v>
      </c>
      <c r="C19" s="24" t="n">
        <f aca="false">SUM(C7:C18)</f>
        <v>4.4555</v>
      </c>
      <c r="D19" s="27"/>
    </row>
    <row r="21" customFormat="false" ht="15" hidden="false" customHeight="false" outlineLevel="0" collapsed="false">
      <c r="A21" s="15" t="s">
        <v>78</v>
      </c>
    </row>
  </sheetData>
  <dataValidations count="1">
    <dataValidation allowBlank="true" errorStyle="stop" operator="between" showDropDown="false" showErrorMessage="false" showInputMessage="false" sqref="D7:D18" type="list">
      <formula1>"offen,gemeldet,bezahlt"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90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12" t="s">
        <v>80</v>
      </c>
    </row>
    <row r="4" customFormat="false" ht="15" hidden="false" customHeight="false" outlineLevel="0" collapsed="false">
      <c r="A4" s="4" t="s">
        <v>81</v>
      </c>
      <c r="B4" s="28" t="n">
        <v>0</v>
      </c>
      <c r="D4" s="3" t="s">
        <v>82</v>
      </c>
    </row>
    <row r="5" customFormat="false" ht="26.85" hidden="false" customHeight="false" outlineLevel="0" collapsed="false">
      <c r="A5" s="4" t="s">
        <v>83</v>
      </c>
      <c r="B5" s="29" t="n">
        <f aca="false">EÜR!$J$2</f>
        <v>245.8</v>
      </c>
      <c r="C5" s="15" t="s">
        <v>84</v>
      </c>
      <c r="D5" s="5" t="s">
        <v>85</v>
      </c>
    </row>
    <row r="6" customFormat="false" ht="30" hidden="false" customHeight="true" outlineLevel="0" collapsed="false">
      <c r="A6" s="4" t="s">
        <v>86</v>
      </c>
      <c r="B6" s="30" t="n">
        <v>25000</v>
      </c>
      <c r="D6" s="5" t="s">
        <v>87</v>
      </c>
    </row>
    <row r="7" customFormat="false" ht="15" hidden="false" customHeight="false" outlineLevel="0" collapsed="false">
      <c r="A7" s="4" t="s">
        <v>88</v>
      </c>
      <c r="B7" s="30" t="n">
        <v>100000</v>
      </c>
      <c r="D7" s="5" t="s">
        <v>89</v>
      </c>
    </row>
    <row r="9" customFormat="false" ht="15" hidden="false" customHeight="false" outlineLevel="0" collapsed="false">
      <c r="A9" s="4" t="s">
        <v>90</v>
      </c>
      <c r="B9" s="31" t="n">
        <f aca="false">IF($B$6=0,0,$B$4/$B$6)</f>
        <v>0</v>
      </c>
      <c r="D9" s="15" t="s">
        <v>91</v>
      </c>
    </row>
    <row r="10" customFormat="false" ht="15" hidden="false" customHeight="false" outlineLevel="0" collapsed="false">
      <c r="A10" s="4" t="s">
        <v>92</v>
      </c>
      <c r="B10" s="31" t="n">
        <f aca="false">IF($B$7=0,0,$B$5/$B$7)</f>
        <v>0.002458</v>
      </c>
    </row>
    <row r="12" customFormat="false" ht="24" hidden="false" customHeight="true" outlineLevel="0" collapsed="false">
      <c r="A12" s="3" t="s">
        <v>93</v>
      </c>
      <c r="B12" s="32" t="str">
        <f aca="false">IF(OR($B$4&gt;$B$6,$B$5&gt;=$B$7),"ROT — Grenze gerissen! Bitte sofort mit dem Steuerbüro sprechen.",IF(OR($B$4&gt;0.8*$B$6,$B$5&gt;=0.8*$B$7),"GELB — über 80 % der Grenze. Jetzt planen!","GRÜN — alles im Rahmen."))</f>
        <v>GRÜN — alles im Rahmen.</v>
      </c>
      <c r="C12" s="32"/>
    </row>
    <row r="13" customFormat="false" ht="24" hidden="false" customHeight="true" outlineLevel="0" collapsed="false">
      <c r="B13" s="32"/>
      <c r="C13" s="32"/>
    </row>
  </sheetData>
  <mergeCells count="1">
    <mergeCell ref="B12:C13"/>
  </mergeCells>
  <conditionalFormatting sqref="B9:B10">
    <cfRule type="dataBar" priority="2">
      <dataBar showValue="1" minLength="10" maxLength="90"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{F17EE982-D06E-49C9-AE48-6766A144746C}</x14:id>
        </ext>
      </extLst>
    </cfRule>
  </conditionalFormatting>
  <conditionalFormatting sqref="B12">
    <cfRule type="expression" priority="3" aboveAverage="0" equalAverage="0" bottom="0" percent="0" rank="0" text="" dxfId="0">
      <formula>ISNUMBER(SEARCH("GRÜN",$B$12))</formula>
    </cfRule>
    <cfRule type="expression" priority="4" aboveAverage="0" equalAverage="0" bottom="0" percent="0" rank="0" text="" dxfId="1">
      <formula>ISNUMBER(SEARCH("GELB",$B$12))</formula>
    </cfRule>
    <cfRule type="expression" priority="5" aboveAverage="0" equalAverage="0" bottom="0" percent="0" rank="0" text="" dxfId="2">
      <formula>ISNUMBER(SEARCH("ROT",$B$12))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7EE982-D06E-49C9-AE48-6766A144746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5B6"/>
              <x14:axisColor rgb="FF000000"/>
            </x14:dataBar>
          </x14:cfRule>
          <xm:sqref>B9:B10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3"/>
    <col collapsed="false" customWidth="true" hidden="false" outlineLevel="0" max="10" min="10" style="0" width="10"/>
  </cols>
  <sheetData>
    <row r="1" customFormat="false" ht="19.7" hidden="false" customHeight="false" outlineLevel="0" collapsed="false">
      <c r="A1" s="1" t="s">
        <v>94</v>
      </c>
    </row>
    <row r="2" customFormat="false" ht="15" hidden="false" customHeight="false" outlineLevel="0" collapsed="false">
      <c r="A2" s="12" t="s">
        <v>95</v>
      </c>
    </row>
    <row r="4" customFormat="false" ht="15" hidden="false" customHeight="false" outlineLevel="0" collapsed="false">
      <c r="A4" s="4" t="s">
        <v>96</v>
      </c>
      <c r="B4" s="25" t="n">
        <v>0.065</v>
      </c>
    </row>
    <row r="5" customFormat="false" ht="15" hidden="false" customHeight="false" outlineLevel="0" collapsed="false">
      <c r="A5" s="4" t="s">
        <v>97</v>
      </c>
      <c r="B5" s="25" t="n">
        <v>0.04</v>
      </c>
    </row>
    <row r="6" customFormat="false" ht="15" hidden="false" customHeight="false" outlineLevel="0" collapsed="false">
      <c r="A6" s="4" t="s">
        <v>98</v>
      </c>
      <c r="B6" s="28" t="n">
        <v>0.3</v>
      </c>
    </row>
    <row r="7" customFormat="false" ht="15" hidden="false" customHeight="false" outlineLevel="0" collapsed="false">
      <c r="A7" s="4" t="s">
        <v>99</v>
      </c>
      <c r="B7" s="28" t="n">
        <v>0.19</v>
      </c>
      <c r="C7" s="15" t="s">
        <v>100</v>
      </c>
    </row>
    <row r="8" customFormat="false" ht="15" hidden="false" customHeight="false" outlineLevel="0" collapsed="false">
      <c r="A8" s="4" t="s">
        <v>101</v>
      </c>
      <c r="B8" s="25" t="n">
        <v>0.15</v>
      </c>
      <c r="C8" s="15" t="s">
        <v>102</v>
      </c>
    </row>
    <row r="9" customFormat="false" ht="15" hidden="false" customHeight="false" outlineLevel="0" collapsed="false">
      <c r="A9" s="4" t="s">
        <v>103</v>
      </c>
      <c r="B9" s="33" t="s">
        <v>104</v>
      </c>
      <c r="C9" s="15" t="s">
        <v>105</v>
      </c>
    </row>
    <row r="10" customFormat="false" ht="15" hidden="false" customHeight="false" outlineLevel="0" collapsed="false">
      <c r="A10" s="4" t="s">
        <v>106</v>
      </c>
      <c r="B10" s="25" t="n">
        <v>0.19</v>
      </c>
    </row>
    <row r="12" customFormat="false" ht="30" hidden="false" customHeight="true" outlineLevel="0" collapsed="false">
      <c r="A12" s="34" t="s">
        <v>107</v>
      </c>
      <c r="B12" s="34" t="s">
        <v>108</v>
      </c>
      <c r="C12" s="34" t="s">
        <v>109</v>
      </c>
      <c r="D12" s="34" t="s">
        <v>110</v>
      </c>
      <c r="E12" s="34" t="s">
        <v>111</v>
      </c>
      <c r="F12" s="34" t="s">
        <v>112</v>
      </c>
      <c r="G12" s="34" t="s">
        <v>113</v>
      </c>
      <c r="H12" s="34" t="s">
        <v>114</v>
      </c>
      <c r="I12" s="34" t="s">
        <v>115</v>
      </c>
      <c r="J12" s="34" t="s">
        <v>116</v>
      </c>
    </row>
    <row r="13" customFormat="false" ht="15" hidden="false" customHeight="false" outlineLevel="0" collapsed="false">
      <c r="A13" s="35" t="s">
        <v>117</v>
      </c>
      <c r="B13" s="36" t="n">
        <v>34.9</v>
      </c>
      <c r="C13" s="36" t="n">
        <v>4.9</v>
      </c>
      <c r="D13" s="36" t="n">
        <v>8.5</v>
      </c>
      <c r="E13" s="36" t="n">
        <v>5.49</v>
      </c>
      <c r="F13" s="35" t="s">
        <v>118</v>
      </c>
      <c r="G13" s="37" t="n">
        <f aca="false">IF($B13="","",($B13+$C13)*$B$4+($B13+$C13)*$B$5+$B$6+$B$7+IF($F13="ja",($B13+$C13)*$B$8,0))</f>
        <v>4.669</v>
      </c>
      <c r="H13" s="37" t="n">
        <f aca="false">IF($B13="","",IF($B$9="ja",$G13*$B$10,0))</f>
        <v>0.88711</v>
      </c>
      <c r="I13" s="37" t="n">
        <f aca="false">IF($B13="","",($B13+$C13)-$G13-$H13-$D13-$E13)</f>
        <v>20.25389</v>
      </c>
      <c r="J13" s="38" t="n">
        <f aca="false">IF(OR($B13="",($B13+$C13)=0),"",$I13/($B13+$C13))</f>
        <v>0.508891708542714</v>
      </c>
    </row>
    <row r="14" customFormat="false" ht="15" hidden="false" customHeight="false" outlineLevel="0" collapsed="false">
      <c r="A14" s="35"/>
      <c r="B14" s="36"/>
      <c r="C14" s="36"/>
      <c r="D14" s="36"/>
      <c r="E14" s="36"/>
      <c r="F14" s="35"/>
      <c r="G14" s="37" t="str">
        <f aca="false">IF($B14="","",($B14+$C14)*$B$4+($B14+$C14)*$B$5+$B$6+$B$7+IF($F14="ja",($B14+$C14)*$B$8,0))</f>
        <v/>
      </c>
      <c r="H14" s="37" t="str">
        <f aca="false">IF($B14="","",IF($B$9="ja",$G14*$B$10,0))</f>
        <v/>
      </c>
      <c r="I14" s="37" t="str">
        <f aca="false">IF($B14="","",($B14+$C14)-$G14-$H14-$D14-$E14)</f>
        <v/>
      </c>
      <c r="J14" s="38" t="str">
        <f aca="false">IF(OR($B14="",($B14+$C14)=0),"",$I14/($B14+$C14))</f>
        <v/>
      </c>
    </row>
    <row r="15" customFormat="false" ht="15" hidden="false" customHeight="false" outlineLevel="0" collapsed="false">
      <c r="A15" s="35"/>
      <c r="B15" s="36"/>
      <c r="C15" s="36"/>
      <c r="D15" s="36"/>
      <c r="E15" s="36"/>
      <c r="F15" s="35"/>
      <c r="G15" s="37" t="str">
        <f aca="false">IF($B15="","",($B15+$C15)*$B$4+($B15+$C15)*$B$5+$B$6+$B$7+IF($F15="ja",($B15+$C15)*$B$8,0))</f>
        <v/>
      </c>
      <c r="H15" s="37" t="str">
        <f aca="false">IF($B15="","",IF($B$9="ja",$G15*$B$10,0))</f>
        <v/>
      </c>
      <c r="I15" s="37" t="str">
        <f aca="false">IF($B15="","",($B15+$C15)-$G15-$H15-$D15-$E15)</f>
        <v/>
      </c>
      <c r="J15" s="38" t="str">
        <f aca="false">IF(OR($B15="",($B15+$C15)=0),"",$I15/($B15+$C15))</f>
        <v/>
      </c>
    </row>
    <row r="16" customFormat="false" ht="15" hidden="false" customHeight="false" outlineLevel="0" collapsed="false">
      <c r="A16" s="35"/>
      <c r="B16" s="36"/>
      <c r="C16" s="36"/>
      <c r="D16" s="36"/>
      <c r="E16" s="36"/>
      <c r="F16" s="35"/>
      <c r="G16" s="37" t="str">
        <f aca="false">IF($B16="","",($B16+$C16)*$B$4+($B16+$C16)*$B$5+$B$6+$B$7+IF($F16="ja",($B16+$C16)*$B$8,0))</f>
        <v/>
      </c>
      <c r="H16" s="37" t="str">
        <f aca="false">IF($B16="","",IF($B$9="ja",$G16*$B$10,0))</f>
        <v/>
      </c>
      <c r="I16" s="37" t="str">
        <f aca="false">IF($B16="","",($B16+$C16)-$G16-$H16-$D16-$E16)</f>
        <v/>
      </c>
      <c r="J16" s="38" t="str">
        <f aca="false">IF(OR($B16="",($B16+$C16)=0),"",$I16/($B16+$C16))</f>
        <v/>
      </c>
    </row>
    <row r="17" customFormat="false" ht="15" hidden="false" customHeight="false" outlineLevel="0" collapsed="false">
      <c r="A17" s="35"/>
      <c r="B17" s="36"/>
      <c r="C17" s="36"/>
      <c r="D17" s="36"/>
      <c r="E17" s="36"/>
      <c r="F17" s="35"/>
      <c r="G17" s="37" t="str">
        <f aca="false">IF($B17="","",($B17+$C17)*$B$4+($B17+$C17)*$B$5+$B$6+$B$7+IF($F17="ja",($B17+$C17)*$B$8,0))</f>
        <v/>
      </c>
      <c r="H17" s="37" t="str">
        <f aca="false">IF($B17="","",IF($B$9="ja",$G17*$B$10,0))</f>
        <v/>
      </c>
      <c r="I17" s="37" t="str">
        <f aca="false">IF($B17="","",($B17+$C17)-$G17-$H17-$D17-$E17)</f>
        <v/>
      </c>
      <c r="J17" s="38" t="str">
        <f aca="false">IF(OR($B17="",($B17+$C17)=0),"",$I17/($B17+$C17))</f>
        <v/>
      </c>
    </row>
    <row r="18" customFormat="false" ht="15" hidden="false" customHeight="false" outlineLevel="0" collapsed="false">
      <c r="A18" s="35"/>
      <c r="B18" s="36"/>
      <c r="C18" s="36"/>
      <c r="D18" s="36"/>
      <c r="E18" s="36"/>
      <c r="F18" s="35"/>
      <c r="G18" s="37" t="str">
        <f aca="false">IF($B18="","",($B18+$C18)*$B$4+($B18+$C18)*$B$5+$B$6+$B$7+IF($F18="ja",($B18+$C18)*$B$8,0))</f>
        <v/>
      </c>
      <c r="H18" s="37" t="str">
        <f aca="false">IF($B18="","",IF($B$9="ja",$G18*$B$10,0))</f>
        <v/>
      </c>
      <c r="I18" s="37" t="str">
        <f aca="false">IF($B18="","",($B18+$C18)-$G18-$H18-$D18-$E18)</f>
        <v/>
      </c>
      <c r="J18" s="38" t="str">
        <f aca="false">IF(OR($B18="",($B18+$C18)=0),"",$I18/($B18+$C18))</f>
        <v/>
      </c>
    </row>
    <row r="19" customFormat="false" ht="15" hidden="false" customHeight="false" outlineLevel="0" collapsed="false">
      <c r="A19" s="35"/>
      <c r="B19" s="36"/>
      <c r="C19" s="36"/>
      <c r="D19" s="36"/>
      <c r="E19" s="36"/>
      <c r="F19" s="35"/>
      <c r="G19" s="37" t="str">
        <f aca="false">IF($B19="","",($B19+$C19)*$B$4+($B19+$C19)*$B$5+$B$6+$B$7+IF($F19="ja",($B19+$C19)*$B$8,0))</f>
        <v/>
      </c>
      <c r="H19" s="37" t="str">
        <f aca="false">IF($B19="","",IF($B$9="ja",$G19*$B$10,0))</f>
        <v/>
      </c>
      <c r="I19" s="37" t="str">
        <f aca="false">IF($B19="","",($B19+$C19)-$G19-$H19-$D19-$E19)</f>
        <v/>
      </c>
      <c r="J19" s="38" t="str">
        <f aca="false">IF(OR($B19="",($B19+$C19)=0),"",$I19/($B19+$C19))</f>
        <v/>
      </c>
    </row>
    <row r="20" customFormat="false" ht="15" hidden="false" customHeight="false" outlineLevel="0" collapsed="false">
      <c r="A20" s="35"/>
      <c r="B20" s="36"/>
      <c r="C20" s="36"/>
      <c r="D20" s="36"/>
      <c r="E20" s="36"/>
      <c r="F20" s="35"/>
      <c r="G20" s="37" t="str">
        <f aca="false">IF($B20="","",($B20+$C20)*$B$4+($B20+$C20)*$B$5+$B$6+$B$7+IF($F20="ja",($B20+$C20)*$B$8,0))</f>
        <v/>
      </c>
      <c r="H20" s="37" t="str">
        <f aca="false">IF($B20="","",IF($B$9="ja",$G20*$B$10,0))</f>
        <v/>
      </c>
      <c r="I20" s="37" t="str">
        <f aca="false">IF($B20="","",($B20+$C20)-$G20-$H20-$D20-$E20)</f>
        <v/>
      </c>
      <c r="J20" s="38" t="str">
        <f aca="false">IF(OR($B20="",($B20+$C20)=0),"",$I20/($B20+$C20))</f>
        <v/>
      </c>
    </row>
    <row r="21" customFormat="false" ht="15" hidden="false" customHeight="false" outlineLevel="0" collapsed="false">
      <c r="A21" s="35"/>
      <c r="B21" s="36"/>
      <c r="C21" s="36"/>
      <c r="D21" s="36"/>
      <c r="E21" s="36"/>
      <c r="F21" s="35"/>
      <c r="G21" s="37" t="str">
        <f aca="false">IF($B21="","",($B21+$C21)*$B$4+($B21+$C21)*$B$5+$B$6+$B$7+IF($F21="ja",($B21+$C21)*$B$8,0))</f>
        <v/>
      </c>
      <c r="H21" s="37" t="str">
        <f aca="false">IF($B21="","",IF($B$9="ja",$G21*$B$10,0))</f>
        <v/>
      </c>
      <c r="I21" s="37" t="str">
        <f aca="false">IF($B21="","",($B21+$C21)-$G21-$H21-$D21-$E21)</f>
        <v/>
      </c>
      <c r="J21" s="38" t="str">
        <f aca="false">IF(OR($B21="",($B21+$C21)=0),"",$I21/($B21+$C21))</f>
        <v/>
      </c>
    </row>
    <row r="22" customFormat="false" ht="15" hidden="false" customHeight="false" outlineLevel="0" collapsed="false">
      <c r="A22" s="35"/>
      <c r="B22" s="36"/>
      <c r="C22" s="36"/>
      <c r="D22" s="36"/>
      <c r="E22" s="36"/>
      <c r="F22" s="35"/>
      <c r="G22" s="37" t="str">
        <f aca="false">IF($B22="","",($B22+$C22)*$B$4+($B22+$C22)*$B$5+$B$6+$B$7+IF($F22="ja",($B22+$C22)*$B$8,0))</f>
        <v/>
      </c>
      <c r="H22" s="37" t="str">
        <f aca="false">IF($B22="","",IF($B$9="ja",$G22*$B$10,0))</f>
        <v/>
      </c>
      <c r="I22" s="37" t="str">
        <f aca="false">IF($B22="","",($B22+$C22)-$G22-$H22-$D22-$E22)</f>
        <v/>
      </c>
      <c r="J22" s="38" t="str">
        <f aca="false">IF(OR($B22="",($B22+$C22)=0),"",$I22/($B22+$C22))</f>
        <v/>
      </c>
    </row>
    <row r="23" customFormat="false" ht="15" hidden="false" customHeight="false" outlineLevel="0" collapsed="false">
      <c r="A23" s="35"/>
      <c r="B23" s="36"/>
      <c r="C23" s="36"/>
      <c r="D23" s="36"/>
      <c r="E23" s="36"/>
      <c r="F23" s="35"/>
      <c r="G23" s="37" t="str">
        <f aca="false">IF($B23="","",($B23+$C23)*$B$4+($B23+$C23)*$B$5+$B$6+$B$7+IF($F23="ja",($B23+$C23)*$B$8,0))</f>
        <v/>
      </c>
      <c r="H23" s="37" t="str">
        <f aca="false">IF($B23="","",IF($B$9="ja",$G23*$B$10,0))</f>
        <v/>
      </c>
      <c r="I23" s="37" t="str">
        <f aca="false">IF($B23="","",($B23+$C23)-$G23-$H23-$D23-$E23)</f>
        <v/>
      </c>
      <c r="J23" s="38" t="str">
        <f aca="false">IF(OR($B23="",($B23+$C23)=0),"",$I23/($B23+$C23))</f>
        <v/>
      </c>
    </row>
    <row r="24" customFormat="false" ht="15" hidden="false" customHeight="false" outlineLevel="0" collapsed="false">
      <c r="A24" s="35"/>
      <c r="B24" s="36"/>
      <c r="C24" s="36"/>
      <c r="D24" s="36"/>
      <c r="E24" s="36"/>
      <c r="F24" s="35"/>
      <c r="G24" s="37" t="str">
        <f aca="false">IF($B24="","",($B24+$C24)*$B$4+($B24+$C24)*$B$5+$B$6+$B$7+IF($F24="ja",($B24+$C24)*$B$8,0))</f>
        <v/>
      </c>
      <c r="H24" s="37" t="str">
        <f aca="false">IF($B24="","",IF($B$9="ja",$G24*$B$10,0))</f>
        <v/>
      </c>
      <c r="I24" s="37" t="str">
        <f aca="false">IF($B24="","",($B24+$C24)-$G24-$H24-$D24-$E24)</f>
        <v/>
      </c>
      <c r="J24" s="38" t="str">
        <f aca="false">IF(OR($B24="",($B24+$C24)=0),"",$I24/($B24+$C24))</f>
        <v/>
      </c>
    </row>
    <row r="25" customFormat="false" ht="15" hidden="false" customHeight="false" outlineLevel="0" collapsed="false">
      <c r="A25" s="35"/>
      <c r="B25" s="36"/>
      <c r="C25" s="36"/>
      <c r="D25" s="36"/>
      <c r="E25" s="36"/>
      <c r="F25" s="35"/>
      <c r="G25" s="37" t="str">
        <f aca="false">IF($B25="","",($B25+$C25)*$B$4+($B25+$C25)*$B$5+$B$6+$B$7+IF($F25="ja",($B25+$C25)*$B$8,0))</f>
        <v/>
      </c>
      <c r="H25" s="37" t="str">
        <f aca="false">IF($B25="","",IF($B$9="ja",$G25*$B$10,0))</f>
        <v/>
      </c>
      <c r="I25" s="37" t="str">
        <f aca="false">IF($B25="","",($B25+$C25)-$G25-$H25-$D25-$E25)</f>
        <v/>
      </c>
      <c r="J25" s="38" t="str">
        <f aca="false">IF(OR($B25="",($B25+$C25)=0),"",$I25/($B25+$C25))</f>
        <v/>
      </c>
    </row>
    <row r="26" customFormat="false" ht="15" hidden="false" customHeight="false" outlineLevel="0" collapsed="false">
      <c r="A26" s="35"/>
      <c r="B26" s="36"/>
      <c r="C26" s="36"/>
      <c r="D26" s="36"/>
      <c r="E26" s="36"/>
      <c r="F26" s="35"/>
      <c r="G26" s="37" t="str">
        <f aca="false">IF($B26="","",($B26+$C26)*$B$4+($B26+$C26)*$B$5+$B$6+$B$7+IF($F26="ja",($B26+$C26)*$B$8,0))</f>
        <v/>
      </c>
      <c r="H26" s="37" t="str">
        <f aca="false">IF($B26="","",IF($B$9="ja",$G26*$B$10,0))</f>
        <v/>
      </c>
      <c r="I26" s="37" t="str">
        <f aca="false">IF($B26="","",($B26+$C26)-$G26-$H26-$D26-$E26)</f>
        <v/>
      </c>
      <c r="J26" s="38" t="str">
        <f aca="false">IF(OR($B26="",($B26+$C26)=0),"",$I26/($B26+$C26))</f>
        <v/>
      </c>
    </row>
    <row r="27" customFormat="false" ht="15" hidden="false" customHeight="false" outlineLevel="0" collapsed="false">
      <c r="A27" s="35"/>
      <c r="B27" s="36"/>
      <c r="C27" s="36"/>
      <c r="D27" s="36"/>
      <c r="E27" s="36"/>
      <c r="F27" s="35"/>
      <c r="G27" s="37" t="str">
        <f aca="false">IF($B27="","",($B27+$C27)*$B$4+($B27+$C27)*$B$5+$B$6+$B$7+IF($F27="ja",($B27+$C27)*$B$8,0))</f>
        <v/>
      </c>
      <c r="H27" s="37" t="str">
        <f aca="false">IF($B27="","",IF($B$9="ja",$G27*$B$10,0))</f>
        <v/>
      </c>
      <c r="I27" s="37" t="str">
        <f aca="false">IF($B27="","",($B27+$C27)-$G27-$H27-$D27-$E27)</f>
        <v/>
      </c>
      <c r="J27" s="38" t="str">
        <f aca="false">IF(OR($B27="",($B27+$C27)=0),"",$I27/($B27+$C27))</f>
        <v/>
      </c>
    </row>
    <row r="28" customFormat="false" ht="15" hidden="false" customHeight="false" outlineLevel="0" collapsed="false">
      <c r="A28" s="35"/>
      <c r="B28" s="36"/>
      <c r="C28" s="36"/>
      <c r="D28" s="36"/>
      <c r="E28" s="36"/>
      <c r="F28" s="35"/>
      <c r="G28" s="37" t="str">
        <f aca="false">IF($B28="","",($B28+$C28)*$B$4+($B28+$C28)*$B$5+$B$6+$B$7+IF($F28="ja",($B28+$C28)*$B$8,0))</f>
        <v/>
      </c>
      <c r="H28" s="37" t="str">
        <f aca="false">IF($B28="","",IF($B$9="ja",$G28*$B$10,0))</f>
        <v/>
      </c>
      <c r="I28" s="37" t="str">
        <f aca="false">IF($B28="","",($B28+$C28)-$G28-$H28-$D28-$E28)</f>
        <v/>
      </c>
      <c r="J28" s="38" t="str">
        <f aca="false">IF(OR($B28="",($B28+$C28)=0),"",$I28/($B28+$C28))</f>
        <v/>
      </c>
    </row>
    <row r="29" customFormat="false" ht="15" hidden="false" customHeight="false" outlineLevel="0" collapsed="false">
      <c r="A29" s="35"/>
      <c r="B29" s="36"/>
      <c r="C29" s="36"/>
      <c r="D29" s="36"/>
      <c r="E29" s="36"/>
      <c r="F29" s="35"/>
      <c r="G29" s="37" t="str">
        <f aca="false">IF($B29="","",($B29+$C29)*$B$4+($B29+$C29)*$B$5+$B$6+$B$7+IF($F29="ja",($B29+$C29)*$B$8,0))</f>
        <v/>
      </c>
      <c r="H29" s="37" t="str">
        <f aca="false">IF($B29="","",IF($B$9="ja",$G29*$B$10,0))</f>
        <v/>
      </c>
      <c r="I29" s="37" t="str">
        <f aca="false">IF($B29="","",($B29+$C29)-$G29-$H29-$D29-$E29)</f>
        <v/>
      </c>
      <c r="J29" s="38" t="str">
        <f aca="false">IF(OR($B29="",($B29+$C29)=0),"",$I29/($B29+$C29))</f>
        <v/>
      </c>
    </row>
    <row r="30" customFormat="false" ht="15" hidden="false" customHeight="false" outlineLevel="0" collapsed="false">
      <c r="A30" s="35"/>
      <c r="B30" s="36"/>
      <c r="C30" s="36"/>
      <c r="D30" s="36"/>
      <c r="E30" s="36"/>
      <c r="F30" s="35"/>
      <c r="G30" s="37" t="str">
        <f aca="false">IF($B30="","",($B30+$C30)*$B$4+($B30+$C30)*$B$5+$B$6+$B$7+IF($F30="ja",($B30+$C30)*$B$8,0))</f>
        <v/>
      </c>
      <c r="H30" s="37" t="str">
        <f aca="false">IF($B30="","",IF($B$9="ja",$G30*$B$10,0))</f>
        <v/>
      </c>
      <c r="I30" s="37" t="str">
        <f aca="false">IF($B30="","",($B30+$C30)-$G30-$H30-$D30-$E30)</f>
        <v/>
      </c>
      <c r="J30" s="38" t="str">
        <f aca="false">IF(OR($B30="",($B30+$C30)=0),"",$I30/($B30+$C30))</f>
        <v/>
      </c>
    </row>
    <row r="31" customFormat="false" ht="15" hidden="false" customHeight="false" outlineLevel="0" collapsed="false">
      <c r="A31" s="35"/>
      <c r="B31" s="36"/>
      <c r="C31" s="36"/>
      <c r="D31" s="36"/>
      <c r="E31" s="36"/>
      <c r="F31" s="35"/>
      <c r="G31" s="37" t="str">
        <f aca="false">IF($B31="","",($B31+$C31)*$B$4+($B31+$C31)*$B$5+$B$6+$B$7+IF($F31="ja",($B31+$C31)*$B$8,0))</f>
        <v/>
      </c>
      <c r="H31" s="37" t="str">
        <f aca="false">IF($B31="","",IF($B$9="ja",$G31*$B$10,0))</f>
        <v/>
      </c>
      <c r="I31" s="37" t="str">
        <f aca="false">IF($B31="","",($B31+$C31)-$G31-$H31-$D31-$E31)</f>
        <v/>
      </c>
      <c r="J31" s="38" t="str">
        <f aca="false">IF(OR($B31="",($B31+$C31)=0),"",$I31/($B31+$C31))</f>
        <v/>
      </c>
    </row>
    <row r="32" customFormat="false" ht="15" hidden="false" customHeight="false" outlineLevel="0" collapsed="false">
      <c r="A32" s="35"/>
      <c r="B32" s="36"/>
      <c r="C32" s="36"/>
      <c r="D32" s="36"/>
      <c r="E32" s="36"/>
      <c r="F32" s="35"/>
      <c r="G32" s="37" t="str">
        <f aca="false">IF($B32="","",($B32+$C32)*$B$4+($B32+$C32)*$B$5+$B$6+$B$7+IF($F32="ja",($B32+$C32)*$B$8,0))</f>
        <v/>
      </c>
      <c r="H32" s="37" t="str">
        <f aca="false">IF($B32="","",IF($B$9="ja",$G32*$B$10,0))</f>
        <v/>
      </c>
      <c r="I32" s="37" t="str">
        <f aca="false">IF($B32="","",($B32+$C32)-$G32-$H32-$D32-$E32)</f>
        <v/>
      </c>
      <c r="J32" s="38" t="str">
        <f aca="false">IF(OR($B32="",($B32+$C32)=0),"",$I32/($B32+$C32))</f>
        <v/>
      </c>
    </row>
    <row r="33" customFormat="false" ht="15" hidden="false" customHeight="false" outlineLevel="0" collapsed="false">
      <c r="A33" s="35"/>
      <c r="B33" s="36"/>
      <c r="C33" s="36"/>
      <c r="D33" s="36"/>
      <c r="E33" s="36"/>
      <c r="F33" s="35"/>
      <c r="G33" s="37" t="str">
        <f aca="false">IF($B33="","",($B33+$C33)*$B$4+($B33+$C33)*$B$5+$B$6+$B$7+IF($F33="ja",($B33+$C33)*$B$8,0))</f>
        <v/>
      </c>
      <c r="H33" s="37" t="str">
        <f aca="false">IF($B33="","",IF($B$9="ja",$G33*$B$10,0))</f>
        <v/>
      </c>
      <c r="I33" s="37" t="str">
        <f aca="false">IF($B33="","",($B33+$C33)-$G33-$H33-$D33-$E33)</f>
        <v/>
      </c>
      <c r="J33" s="38" t="str">
        <f aca="false">IF(OR($B33="",($B33+$C33)=0),"",$I33/($B33+$C33))</f>
        <v/>
      </c>
    </row>
    <row r="34" customFormat="false" ht="15" hidden="false" customHeight="false" outlineLevel="0" collapsed="false">
      <c r="A34" s="35"/>
      <c r="B34" s="36"/>
      <c r="C34" s="36"/>
      <c r="D34" s="36"/>
      <c r="E34" s="36"/>
      <c r="F34" s="35"/>
      <c r="G34" s="37" t="str">
        <f aca="false">IF($B34="","",($B34+$C34)*$B$4+($B34+$C34)*$B$5+$B$6+$B$7+IF($F34="ja",($B34+$C34)*$B$8,0))</f>
        <v/>
      </c>
      <c r="H34" s="37" t="str">
        <f aca="false">IF($B34="","",IF($B$9="ja",$G34*$B$10,0))</f>
        <v/>
      </c>
      <c r="I34" s="37" t="str">
        <f aca="false">IF($B34="","",($B34+$C34)-$G34-$H34-$D34-$E34)</f>
        <v/>
      </c>
      <c r="J34" s="38" t="str">
        <f aca="false">IF(OR($B34="",($B34+$C34)=0),"",$I34/($B34+$C34))</f>
        <v/>
      </c>
    </row>
    <row r="35" customFormat="false" ht="15" hidden="false" customHeight="false" outlineLevel="0" collapsed="false">
      <c r="A35" s="35"/>
      <c r="B35" s="36"/>
      <c r="C35" s="36"/>
      <c r="D35" s="36"/>
      <c r="E35" s="36"/>
      <c r="F35" s="35"/>
      <c r="G35" s="37" t="str">
        <f aca="false">IF($B35="","",($B35+$C35)*$B$4+($B35+$C35)*$B$5+$B$6+$B$7+IF($F35="ja",($B35+$C35)*$B$8,0))</f>
        <v/>
      </c>
      <c r="H35" s="37" t="str">
        <f aca="false">IF($B35="","",IF($B$9="ja",$G35*$B$10,0))</f>
        <v/>
      </c>
      <c r="I35" s="37" t="str">
        <f aca="false">IF($B35="","",($B35+$C35)-$G35-$H35-$D35-$E35)</f>
        <v/>
      </c>
      <c r="J35" s="38" t="str">
        <f aca="false">IF(OR($B35="",($B35+$C35)=0),"",$I35/($B35+$C35))</f>
        <v/>
      </c>
    </row>
    <row r="36" customFormat="false" ht="15" hidden="false" customHeight="false" outlineLevel="0" collapsed="false">
      <c r="A36" s="35"/>
      <c r="B36" s="36"/>
      <c r="C36" s="36"/>
      <c r="D36" s="36"/>
      <c r="E36" s="36"/>
      <c r="F36" s="35"/>
      <c r="G36" s="37" t="str">
        <f aca="false">IF($B36="","",($B36+$C36)*$B$4+($B36+$C36)*$B$5+$B$6+$B$7+IF($F36="ja",($B36+$C36)*$B$8,0))</f>
        <v/>
      </c>
      <c r="H36" s="37" t="str">
        <f aca="false">IF($B36="","",IF($B$9="ja",$G36*$B$10,0))</f>
        <v/>
      </c>
      <c r="I36" s="37" t="str">
        <f aca="false">IF($B36="","",($B36+$C36)-$G36-$H36-$D36-$E36)</f>
        <v/>
      </c>
      <c r="J36" s="38" t="str">
        <f aca="false">IF(OR($B36="",($B36+$C36)=0),"",$I36/($B36+$C36))</f>
        <v/>
      </c>
    </row>
    <row r="37" customFormat="false" ht="15" hidden="false" customHeight="false" outlineLevel="0" collapsed="false">
      <c r="A37" s="35"/>
      <c r="B37" s="36"/>
      <c r="C37" s="36"/>
      <c r="D37" s="36"/>
      <c r="E37" s="36"/>
      <c r="F37" s="35"/>
      <c r="G37" s="37" t="str">
        <f aca="false">IF($B37="","",($B37+$C37)*$B$4+($B37+$C37)*$B$5+$B$6+$B$7+IF($F37="ja",($B37+$C37)*$B$8,0))</f>
        <v/>
      </c>
      <c r="H37" s="37" t="str">
        <f aca="false">IF($B37="","",IF($B$9="ja",$G37*$B$10,0))</f>
        <v/>
      </c>
      <c r="I37" s="37" t="str">
        <f aca="false">IF($B37="","",($B37+$C37)-$G37-$H37-$D37-$E37)</f>
        <v/>
      </c>
      <c r="J37" s="38" t="str">
        <f aca="false">IF(OR($B37="",($B37+$C37)=0),"",$I37/($B37+$C37))</f>
        <v/>
      </c>
    </row>
    <row r="38" customFormat="false" ht="15" hidden="false" customHeight="false" outlineLevel="0" collapsed="false">
      <c r="A38" s="35"/>
      <c r="B38" s="36"/>
      <c r="C38" s="36"/>
      <c r="D38" s="36"/>
      <c r="E38" s="36"/>
      <c r="F38" s="35"/>
      <c r="G38" s="37" t="str">
        <f aca="false">IF($B38="","",($B38+$C38)*$B$4+($B38+$C38)*$B$5+$B$6+$B$7+IF($F38="ja",($B38+$C38)*$B$8,0))</f>
        <v/>
      </c>
      <c r="H38" s="37" t="str">
        <f aca="false">IF($B38="","",IF($B$9="ja",$G38*$B$10,0))</f>
        <v/>
      </c>
      <c r="I38" s="37" t="str">
        <f aca="false">IF($B38="","",($B38+$C38)-$G38-$H38-$D38-$E38)</f>
        <v/>
      </c>
      <c r="J38" s="38" t="str">
        <f aca="false">IF(OR($B38="",($B38+$C38)=0),"",$I38/($B38+$C38))</f>
        <v/>
      </c>
    </row>
    <row r="39" customFormat="false" ht="15" hidden="false" customHeight="false" outlineLevel="0" collapsed="false">
      <c r="A39" s="35"/>
      <c r="B39" s="36"/>
      <c r="C39" s="36"/>
      <c r="D39" s="36"/>
      <c r="E39" s="36"/>
      <c r="F39" s="35"/>
      <c r="G39" s="37" t="str">
        <f aca="false">IF($B39="","",($B39+$C39)*$B$4+($B39+$C39)*$B$5+$B$6+$B$7+IF($F39="ja",($B39+$C39)*$B$8,0))</f>
        <v/>
      </c>
      <c r="H39" s="37" t="str">
        <f aca="false">IF($B39="","",IF($B$9="ja",$G39*$B$10,0))</f>
        <v/>
      </c>
      <c r="I39" s="37" t="str">
        <f aca="false">IF($B39="","",($B39+$C39)-$G39-$H39-$D39-$E39)</f>
        <v/>
      </c>
      <c r="J39" s="38" t="str">
        <f aca="false">IF(OR($B39="",($B39+$C39)=0),"",$I39/($B39+$C39))</f>
        <v/>
      </c>
    </row>
    <row r="40" customFormat="false" ht="15" hidden="false" customHeight="false" outlineLevel="0" collapsed="false">
      <c r="A40" s="35"/>
      <c r="B40" s="36"/>
      <c r="C40" s="36"/>
      <c r="D40" s="36"/>
      <c r="E40" s="36"/>
      <c r="F40" s="35"/>
      <c r="G40" s="37" t="str">
        <f aca="false">IF($B40="","",($B40+$C40)*$B$4+($B40+$C40)*$B$5+$B$6+$B$7+IF($F40="ja",($B40+$C40)*$B$8,0))</f>
        <v/>
      </c>
      <c r="H40" s="37" t="str">
        <f aca="false">IF($B40="","",IF($B$9="ja",$G40*$B$10,0))</f>
        <v/>
      </c>
      <c r="I40" s="37" t="str">
        <f aca="false">IF($B40="","",($B40+$C40)-$G40-$H40-$D40-$E40)</f>
        <v/>
      </c>
      <c r="J40" s="38" t="str">
        <f aca="false">IF(OR($B40="",($B40+$C40)=0),"",$I40/($B40+$C40))</f>
        <v/>
      </c>
    </row>
    <row r="41" customFormat="false" ht="15" hidden="false" customHeight="false" outlineLevel="0" collapsed="false">
      <c r="A41" s="35"/>
      <c r="B41" s="36"/>
      <c r="C41" s="36"/>
      <c r="D41" s="36"/>
      <c r="E41" s="36"/>
      <c r="F41" s="35"/>
      <c r="G41" s="37" t="str">
        <f aca="false">IF($B41="","",($B41+$C41)*$B$4+($B41+$C41)*$B$5+$B$6+$B$7+IF($F41="ja",($B41+$C41)*$B$8,0))</f>
        <v/>
      </c>
      <c r="H41" s="37" t="str">
        <f aca="false">IF($B41="","",IF($B$9="ja",$G41*$B$10,0))</f>
        <v/>
      </c>
      <c r="I41" s="37" t="str">
        <f aca="false">IF($B41="","",($B41+$C41)-$G41-$H41-$D41-$E41)</f>
        <v/>
      </c>
      <c r="J41" s="38" t="str">
        <f aca="false">IF(OR($B41="",($B41+$C41)=0),"",$I41/($B41+$C41))</f>
        <v/>
      </c>
    </row>
    <row r="42" customFormat="false" ht="15" hidden="false" customHeight="false" outlineLevel="0" collapsed="false">
      <c r="A42" s="35"/>
      <c r="B42" s="36"/>
      <c r="C42" s="36"/>
      <c r="D42" s="36"/>
      <c r="E42" s="36"/>
      <c r="F42" s="35"/>
      <c r="G42" s="37" t="str">
        <f aca="false">IF($B42="","",($B42+$C42)*$B$4+($B42+$C42)*$B$5+$B$6+$B$7+IF($F42="ja",($B42+$C42)*$B$8,0))</f>
        <v/>
      </c>
      <c r="H42" s="37" t="str">
        <f aca="false">IF($B42="","",IF($B$9="ja",$G42*$B$10,0))</f>
        <v/>
      </c>
      <c r="I42" s="37" t="str">
        <f aca="false">IF($B42="","",($B42+$C42)-$G42-$H42-$D42-$E42)</f>
        <v/>
      </c>
      <c r="J42" s="38" t="str">
        <f aca="false">IF(OR($B42="",($B42+$C42)=0),"",$I42/($B42+$C42))</f>
        <v/>
      </c>
    </row>
    <row r="44" customFormat="false" ht="15" hidden="false" customHeight="false" outlineLevel="0" collapsed="false">
      <c r="A44" s="15" t="s">
        <v>119</v>
      </c>
    </row>
  </sheetData>
  <conditionalFormatting sqref="J13:J42">
    <cfRule type="expression" priority="2" aboveAverage="0" equalAverage="0" bottom="0" percent="0" rank="0" text="" dxfId="2">
      <formula>AND(ISNUMBER($J13),$J13&lt;0.15)</formula>
    </cfRule>
    <cfRule type="expression" priority="3" aboveAverage="0" equalAverage="0" bottom="0" percent="0" rank="0" text="" dxfId="1">
      <formula>AND(ISNUMBER($J13),$J13&gt;=0.15,$J13&lt;0.3)</formula>
    </cfRule>
    <cfRule type="expression" priority="4" aboveAverage="0" equalAverage="0" bottom="0" percent="0" rank="0" text="" dxfId="0">
      <formula>AND(ISNUMBER($J13),$J13&gt;=0.3)</formula>
    </cfRule>
  </conditionalFormatting>
  <dataValidations count="1">
    <dataValidation allowBlank="true" errorStyle="stop" operator="between" showDropDown="false" showErrorMessage="false" showInputMessage="false" sqref="B9 F13:F42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5" min="4" style="0" width="14"/>
  </cols>
  <sheetData>
    <row r="1" customFormat="false" ht="16.15" hidden="false" customHeight="false" outlineLevel="0" collapsed="false">
      <c r="B1" s="39" t="s">
        <v>120</v>
      </c>
    </row>
    <row r="2" customFormat="false" ht="15" hidden="false" customHeight="false" outlineLevel="0" collapsed="false">
      <c r="B2" s="40" t="s">
        <v>121</v>
      </c>
    </row>
    <row r="3" customFormat="false" ht="15" hidden="false" customHeight="false" outlineLevel="0" collapsed="false">
      <c r="B3" s="40" t="s">
        <v>122</v>
      </c>
    </row>
    <row r="5" customFormat="false" ht="15" hidden="false" customHeight="false" outlineLevel="0" collapsed="false">
      <c r="B5" s="4" t="s">
        <v>123</v>
      </c>
      <c r="D5" s="4" t="s">
        <v>124</v>
      </c>
      <c r="E5" s="19" t="s">
        <v>125</v>
      </c>
    </row>
    <row r="6" customFormat="false" ht="15" hidden="false" customHeight="false" outlineLevel="0" collapsed="false">
      <c r="B6" s="40" t="s">
        <v>126</v>
      </c>
      <c r="D6" s="4" t="s">
        <v>127</v>
      </c>
      <c r="E6" s="19" t="s">
        <v>128</v>
      </c>
    </row>
    <row r="7" customFormat="false" ht="15" hidden="false" customHeight="false" outlineLevel="0" collapsed="false">
      <c r="B7" s="40" t="s">
        <v>129</v>
      </c>
      <c r="D7" s="4" t="s">
        <v>130</v>
      </c>
      <c r="E7" s="19" t="s">
        <v>128</v>
      </c>
    </row>
    <row r="8" customFormat="false" ht="15" hidden="false" customHeight="false" outlineLevel="0" collapsed="false">
      <c r="B8" s="40" t="s">
        <v>131</v>
      </c>
    </row>
    <row r="10" customFormat="false" ht="18.55" hidden="false" customHeight="false" outlineLevel="0" collapsed="false">
      <c r="B10" s="41" t="s">
        <v>132</v>
      </c>
    </row>
    <row r="12" customFormat="false" ht="15" hidden="false" customHeight="false" outlineLevel="0" collapsed="false">
      <c r="A12" s="17" t="s">
        <v>133</v>
      </c>
      <c r="B12" s="17" t="s">
        <v>35</v>
      </c>
      <c r="C12" s="17" t="s">
        <v>134</v>
      </c>
      <c r="D12" s="17" t="s">
        <v>135</v>
      </c>
      <c r="E12" s="17" t="s">
        <v>136</v>
      </c>
    </row>
    <row r="13" customFormat="false" ht="15" hidden="false" customHeight="false" outlineLevel="0" collapsed="false">
      <c r="A13" s="42" t="n">
        <v>1</v>
      </c>
      <c r="B13" s="19" t="s">
        <v>137</v>
      </c>
      <c r="C13" s="19" t="n">
        <v>1</v>
      </c>
      <c r="D13" s="20" t="n">
        <v>34.9</v>
      </c>
      <c r="E13" s="22" t="n">
        <f aca="false">IF(OR($C13="",$D13=""),"",$C13*$D13)</f>
        <v>34.9</v>
      </c>
    </row>
    <row r="14" customFormat="false" ht="15" hidden="false" customHeight="false" outlineLevel="0" collapsed="false">
      <c r="A14" s="42" t="n">
        <v>2</v>
      </c>
      <c r="B14" s="19"/>
      <c r="C14" s="19"/>
      <c r="D14" s="20"/>
      <c r="E14" s="22" t="str">
        <f aca="false">IF(OR($C14="",$D14=""),"",$C14*$D14)</f>
        <v/>
      </c>
    </row>
    <row r="15" customFormat="false" ht="15" hidden="false" customHeight="false" outlineLevel="0" collapsed="false">
      <c r="A15" s="42" t="n">
        <v>3</v>
      </c>
      <c r="B15" s="19"/>
      <c r="C15" s="19"/>
      <c r="D15" s="20"/>
      <c r="E15" s="22" t="str">
        <f aca="false">IF(OR($C15="",$D15=""),"",$C15*$D15)</f>
        <v/>
      </c>
    </row>
    <row r="16" customFormat="false" ht="15" hidden="false" customHeight="false" outlineLevel="0" collapsed="false">
      <c r="A16" s="42" t="n">
        <v>4</v>
      </c>
      <c r="B16" s="19"/>
      <c r="C16" s="19"/>
      <c r="D16" s="20"/>
      <c r="E16" s="22" t="str">
        <f aca="false">IF(OR($C16="",$D16=""),"",$C16*$D16)</f>
        <v/>
      </c>
    </row>
    <row r="17" customFormat="false" ht="15" hidden="false" customHeight="false" outlineLevel="0" collapsed="false">
      <c r="A17" s="42" t="n">
        <v>5</v>
      </c>
      <c r="B17" s="19"/>
      <c r="C17" s="19"/>
      <c r="D17" s="20"/>
      <c r="E17" s="22" t="str">
        <f aca="false">IF(OR($C17="",$D17=""),"",$C17*$D17)</f>
        <v/>
      </c>
    </row>
    <row r="18" customFormat="false" ht="15" hidden="false" customHeight="false" outlineLevel="0" collapsed="false">
      <c r="A18" s="42" t="n">
        <v>6</v>
      </c>
      <c r="B18" s="19"/>
      <c r="C18" s="19"/>
      <c r="D18" s="20"/>
      <c r="E18" s="22" t="str">
        <f aca="false">IF(OR($C18="",$D18=""),"",$C18*$D18)</f>
        <v/>
      </c>
    </row>
    <row r="20" customFormat="false" ht="15" hidden="false" customHeight="false" outlineLevel="0" collapsed="false">
      <c r="D20" s="23" t="s">
        <v>138</v>
      </c>
      <c r="E20" s="24" t="n">
        <f aca="false">SUM(E13:E18)</f>
        <v>34.9</v>
      </c>
    </row>
    <row r="22" customFormat="false" ht="15" hidden="false" customHeight="false" outlineLevel="0" collapsed="false">
      <c r="B22" s="43" t="s">
        <v>139</v>
      </c>
    </row>
    <row r="24" customFormat="false" ht="15" hidden="false" customHeight="false" outlineLevel="0" collapsed="false">
      <c r="B24" s="7" t="s">
        <v>140</v>
      </c>
    </row>
    <row r="25" customFormat="false" ht="15" hidden="false" customHeight="false" outlineLevel="0" collapsed="false">
      <c r="B25" s="40" t="s">
        <v>141</v>
      </c>
    </row>
    <row r="27" customFormat="false" ht="15" hidden="false" customHeight="true" outlineLevel="0" collapsed="false">
      <c r="B27" s="11" t="s">
        <v>142</v>
      </c>
      <c r="C27" s="11"/>
      <c r="D27" s="11"/>
      <c r="E27" s="11"/>
    </row>
    <row r="28" customFormat="false" ht="15" hidden="false" customHeight="false" outlineLevel="0" collapsed="false">
      <c r="B28" s="11"/>
      <c r="C28" s="11"/>
      <c r="D28" s="11"/>
      <c r="E28" s="11"/>
    </row>
    <row r="30" customFormat="false" ht="15" hidden="false" customHeight="false" outlineLevel="0" collapsed="false">
      <c r="B30" s="15" t="s">
        <v>143</v>
      </c>
    </row>
  </sheetData>
  <mergeCells count="1">
    <mergeCell ref="B27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2026-07-12T08:29:41Z</dcterms:created>
  <dc:creator>openpyxl</dc:creator>
  <dc:description/>
  <dc:language>en-US</dc:language>
  <cp:lastModifiedBy/>
  <dcterms:modified xsi:type="dcterms:W3CDTF">2026-07-12T08:29:41Z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